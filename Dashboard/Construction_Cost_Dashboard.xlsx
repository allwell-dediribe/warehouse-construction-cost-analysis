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chidu\Desktop\"/>
    </mc:Choice>
  </mc:AlternateContent>
  <xr:revisionPtr revIDLastSave="0" documentId="13_ncr:1_{42EA26E2-4668-4275-91B3-F3356AD6599D}" xr6:coauthVersionLast="47" xr6:coauthVersionMax="47" xr10:uidLastSave="{00000000-0000-0000-0000-000000000000}"/>
  <bookViews>
    <workbookView xWindow="-108" yWindow="-108" windowWidth="23256" windowHeight="13176" activeTab="4" xr2:uid="{00000000-000D-0000-FFFF-FFFF00000000}"/>
  </bookViews>
  <sheets>
    <sheet name="Construction Cost Data" sheetId="1" r:id="rId1"/>
    <sheet name="Summary Table" sheetId="3" r:id="rId2"/>
    <sheet name="EDA" sheetId="2" r:id="rId3"/>
    <sheet name="Dashboard" sheetId="4" r:id="rId4"/>
    <sheet name="Sheet1" sheetId="5" r:id="rId5"/>
  </sheets>
  <definedNames>
    <definedName name="_xlcn.WorksheetConnection_Corrected_Warehouse_Construction_Cost_Dataset.xlsxTable11" hidden="1">Table1[]</definedName>
    <definedName name="Slicer_Months">#N/A</definedName>
    <definedName name="Slicer_Project_Phase">#N/A</definedName>
    <definedName name="Slicer_Supplier_Name">#N/A</definedName>
  </definedNames>
  <calcPr calcId="191029"/>
  <pivotCaches>
    <pivotCache cacheId="1" r:id="rId6"/>
    <pivotCache cacheId="2" r:id="rId7"/>
    <pivotCache cacheId="3" r:id="rId8"/>
    <pivotCache cacheId="4" r:id="rId9"/>
    <pivotCache cacheId="5" r:id="rId10"/>
    <pivotCache cacheId="6" r:id="rId11"/>
    <pivotCache cacheId="10"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rrected_Warehouse_Construction_Cost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2" l="1"/>
  <c r="B7" i="3"/>
  <c r="C6" i="3" s="1"/>
  <c r="T8"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I12"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C2" i="3" l="1"/>
  <c r="C3" i="3"/>
  <c r="C4" i="3"/>
  <c r="C5" i="3"/>
  <c r="C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00AA95-1FBE-4FFA-9CAC-830AEADBC6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018A51-E135-40EF-B1DC-74FC401CE635}" name="WorksheetConnection_Corrected_Warehouse_Construction_Cost_Dataset.xlsx!Table1" type="102" refreshedVersion="8" minRefreshableVersion="5">
    <extLst>
      <ext xmlns:x15="http://schemas.microsoft.com/office/spreadsheetml/2010/11/main" uri="{DE250136-89BD-433C-8126-D09CA5730AF9}">
        <x15:connection id="Table1" autoDelete="1">
          <x15:rangePr sourceName="_xlcn.WorksheetConnection_Corrected_Warehouse_Construction_Cost_Dataset.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<sst xmlns="http://schemas.openxmlformats.org/spreadsheetml/2006/main" count="319" uniqueCount="90">
  <si>
    <t>Date</t>
  </si>
  <si>
    <t>Project Phase</t>
  </si>
  <si>
    <t>Material Purchased</t>
  </si>
  <si>
    <t>Quantity</t>
  </si>
  <si>
    <t>Unit Cost (₦)</t>
  </si>
  <si>
    <t>Total Cost (₦)</t>
  </si>
  <si>
    <t>Labour Cost (₦)</t>
  </si>
  <si>
    <t>Equipment Cost (₦)</t>
  </si>
  <si>
    <t>Transportation Cost (₦)</t>
  </si>
  <si>
    <t>Other Expenses (₦)</t>
  </si>
  <si>
    <t>Planned Budget (₦)</t>
  </si>
  <si>
    <t>Actual Cost (₦)</t>
  </si>
  <si>
    <t>Variance (₦)</t>
  </si>
  <si>
    <t>Status</t>
  </si>
  <si>
    <t>Site Preparation</t>
  </si>
  <si>
    <t>Land clearing and preparation</t>
  </si>
  <si>
    <t>Gravel</t>
  </si>
  <si>
    <t>Alpha Construction Supply</t>
  </si>
  <si>
    <t>Over Budget</t>
  </si>
  <si>
    <t>BuildMart Ltd</t>
  </si>
  <si>
    <t>Prime Materials Co.</t>
  </si>
  <si>
    <t>Mega Builders Depot</t>
  </si>
  <si>
    <t>Foundation</t>
  </si>
  <si>
    <t>Concrete foundation and reinforcement</t>
  </si>
  <si>
    <t>Cement</t>
  </si>
  <si>
    <t>Block Work</t>
  </si>
  <si>
    <t>Wall construction</t>
  </si>
  <si>
    <t>Blocks</t>
  </si>
  <si>
    <t>Roofing</t>
  </si>
  <si>
    <t>Roof installation</t>
  </si>
  <si>
    <t>Roof Sheets</t>
  </si>
  <si>
    <t>Within Budget</t>
  </si>
  <si>
    <t>Finishing</t>
  </si>
  <si>
    <t>Plastering and finishing works</t>
  </si>
  <si>
    <t>Sand</t>
  </si>
  <si>
    <t>Painting</t>
  </si>
  <si>
    <t>Painting works</t>
  </si>
  <si>
    <t>Paint</t>
  </si>
  <si>
    <t>Electrical Installation</t>
  </si>
  <si>
    <t>Electrical wiring</t>
  </si>
  <si>
    <t>Electrical Cables</t>
  </si>
  <si>
    <t>Plumbing</t>
  </si>
  <si>
    <t>Pipe installation</t>
  </si>
  <si>
    <t>Pipes</t>
  </si>
  <si>
    <t>Activity Name</t>
  </si>
  <si>
    <t>Supplier Name</t>
  </si>
  <si>
    <t>Row Labels</t>
  </si>
  <si>
    <t>Grand Total</t>
  </si>
  <si>
    <t>Sum of Actual Cost (₦)</t>
  </si>
  <si>
    <t>Sum of Planned Budget (₦)</t>
  </si>
  <si>
    <t>Total Cost per Activity (₦)</t>
  </si>
  <si>
    <t>Total Cost per Material (₦)</t>
  </si>
  <si>
    <t>Months</t>
  </si>
  <si>
    <t>Apr</t>
  </si>
  <si>
    <t>Feb</t>
  </si>
  <si>
    <t>Jan</t>
  </si>
  <si>
    <t>Mar</t>
  </si>
  <si>
    <t>May</t>
  </si>
  <si>
    <t>% of Actual Cost per Supplier</t>
  </si>
  <si>
    <t>% of Actual Cost per Month</t>
  </si>
  <si>
    <t>Sum of Labour Cost (₦)</t>
  </si>
  <si>
    <t>Labour Cost Percentage</t>
  </si>
  <si>
    <t>Material Cost</t>
  </si>
  <si>
    <t>Cost Category</t>
  </si>
  <si>
    <t>Materials</t>
  </si>
  <si>
    <t>Labour</t>
  </si>
  <si>
    <t>Equipment</t>
  </si>
  <si>
    <t>Transportation</t>
  </si>
  <si>
    <t>Other Expenses</t>
  </si>
  <si>
    <t>Total</t>
  </si>
  <si>
    <t>Amount Spent</t>
  </si>
  <si>
    <t>Precentage Cost</t>
  </si>
  <si>
    <t>Planned Allocation</t>
  </si>
  <si>
    <t>50M</t>
  </si>
  <si>
    <t>20M</t>
  </si>
  <si>
    <t>10M</t>
  </si>
  <si>
    <t>15M</t>
  </si>
  <si>
    <t>5M</t>
  </si>
  <si>
    <t>100M</t>
  </si>
  <si>
    <t>11.5M</t>
  </si>
  <si>
    <t>2.5M</t>
  </si>
  <si>
    <t>8M</t>
  </si>
  <si>
    <t>5.1M</t>
  </si>
  <si>
    <t>2.9M</t>
  </si>
  <si>
    <t>Variance (-)</t>
  </si>
  <si>
    <t>Category</t>
  </si>
  <si>
    <t>Amount</t>
  </si>
  <si>
    <t>Remaining Budget Available</t>
  </si>
  <si>
    <t>Remaining Completion Cost</t>
  </si>
  <si>
    <t>Sum of 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</si>
</sst>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70]#,##0"/>
    <numFmt numFmtId="166" formatCode="0.0%"/>
    <numFmt numFmtId="167" formatCode="0.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xf numFmtId="166" fontId="0" fillId="0" borderId="0" xfId="0" applyNumberFormat="1"/>
    <xf numFmtId="167" fontId="0" fillId="0" borderId="0" xfId="0" applyNumberFormat="1"/>
    <xf numFmtId="9" fontId="0" fillId="0" borderId="0" xfId="0" applyNumberFormat="1"/>
    <xf numFmtId="0" fontId="1" fillId="2" borderId="2" xfId="0" applyFont="1" applyFill="1" applyBorder="1" applyAlignment="1">
      <alignment horizontal="left"/>
    </xf>
    <xf numFmtId="165" fontId="1" fillId="2" borderId="2" xfId="0" applyNumberFormat="1" applyFont="1" applyFill="1" applyBorder="1"/>
  </cellXfs>
  <cellStyles count="1">
    <cellStyle name="Normal" xfId="0" builtinId="0"/>
  </cellStyles>
  <dxfs count="29">
    <dxf>
      <numFmt numFmtId="165" formatCode="[$₦-470]#,##0"/>
    </dxf>
    <dxf>
      <numFmt numFmtId="165" formatCode="[$₦-470]#,##0"/>
    </dxf>
    <dxf>
      <numFmt numFmtId="165" formatCode="[$₦-470]#,##0"/>
    </dxf>
    <dxf>
      <alignment horizontal="left" vertical="bottom" textRotation="0" wrapText="0" indent="0" justifyLastLine="0" shrinkToFit="0" readingOrder="0"/>
    </dxf>
    <dxf>
      <numFmt numFmtId="166" formatCode="0.0%"/>
    </dxf>
    <dxf>
      <numFmt numFmtId="166" formatCode="0.0%"/>
    </dxf>
    <dxf>
      <numFmt numFmtId="14" formatCode="0.00%"/>
    </dxf>
    <dxf>
      <numFmt numFmtId="165" formatCode="[$₦-470]#,##0"/>
    </dxf>
    <dxf>
      <numFmt numFmtId="165" formatCode="[$₦-470]#,##0"/>
    </dxf>
    <dxf>
      <numFmt numFmtId="166" formatCode="0.0%"/>
    </dxf>
    <dxf>
      <numFmt numFmtId="166" formatCode="0.0%"/>
    </dxf>
    <dxf>
      <numFmt numFmtId="14" formatCode="0.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65" formatCode="[$₦-470]#,##0"/>
    </dxf>
    <dxf>
      <numFmt numFmtId="13" formatCode="0%"/>
    </dxf>
    <dxf>
      <numFmt numFmtId="167" formatCode="0.0,,&quot;M&quot;"/>
    </dxf>
    <dxf>
      <numFmt numFmtId="0" formatCode="General"/>
    </dxf>
    <dxf>
      <numFmt numFmtId="0" formatCode="General"/>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7/06/relationships/rdRichValueStructure" Target="richData/rdrichvaluestructur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[Corrected_Warehouse_Construction_Cost_Dataset.xlsx]EDA!PivotTable5</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1" baseline="0">
                <a:solidFill>
                  <a:sysClr val="windowText" lastClr="000000"/>
                </a:solidFill>
                <a:latin typeface="+mj-lt"/>
              </a:rPr>
              <a:t>Project Phase Cost vs Budget</a:t>
            </a:r>
            <a:endParaRPr lang="en-US" sz="1400"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7944537235877"/>
          <c:y val="5.2953523353440467E-2"/>
          <c:w val="0.79451213499922513"/>
          <c:h val="0.79681940799066797"/>
        </c:manualLayout>
      </c:layout>
      <c:barChart>
        <c:barDir val="col"/>
        <c:grouping val="clustered"/>
        <c:varyColors val="0"/>
        <c:ser>
          <c:idx val="0"/>
          <c:order val="0"/>
          <c:tx>
            <c:strRef>
              <c:f>EDA!$E$16</c:f>
              <c:strCache>
                <c:ptCount val="1"/>
                <c:pt idx="0">
                  <c:v>Total Cost per Activity (₦)</c:v>
                </c:pt>
              </c:strCache>
            </c:strRef>
          </c:tx>
          <c:spPr>
            <a:solidFill>
              <a:schemeClr val="accent1"/>
            </a:solidFill>
            <a:ln>
              <a:noFill/>
            </a:ln>
            <a:effectLst/>
          </c:spPr>
          <c:invertIfNegative val="0"/>
          <c:cat>
            <c:strRef>
              <c:f>EDA!$D$17:$D$25</c:f>
              <c:strCache>
                <c:ptCount val="8"/>
                <c:pt idx="0">
                  <c:v>Block Work</c:v>
                </c:pt>
                <c:pt idx="1">
                  <c:v>Foundation</c:v>
                </c:pt>
                <c:pt idx="2">
                  <c:v>Site Preparation</c:v>
                </c:pt>
                <c:pt idx="3">
                  <c:v>Plumbing</c:v>
                </c:pt>
                <c:pt idx="4">
                  <c:v>Roofing</c:v>
                </c:pt>
                <c:pt idx="5">
                  <c:v>Electrical Installation</c:v>
                </c:pt>
                <c:pt idx="6">
                  <c:v>Finishing</c:v>
                </c:pt>
                <c:pt idx="7">
                  <c:v>Painting</c:v>
                </c:pt>
              </c:strCache>
            </c:strRef>
          </c:cat>
          <c:val>
            <c:numRef>
              <c:f>EDA!$E$17:$E$25</c:f>
              <c:numCache>
                <c:formatCode>[$₦-470]#,##0</c:formatCode>
                <c:ptCount val="8"/>
                <c:pt idx="0">
                  <c:v>38000000</c:v>
                </c:pt>
                <c:pt idx="1">
                  <c:v>25000000</c:v>
                </c:pt>
                <c:pt idx="2">
                  <c:v>7000000</c:v>
                </c:pt>
                <c:pt idx="3">
                  <c:v>0</c:v>
                </c:pt>
                <c:pt idx="4">
                  <c:v>0</c:v>
                </c:pt>
                <c:pt idx="5">
                  <c:v>0</c:v>
                </c:pt>
                <c:pt idx="6">
                  <c:v>0</c:v>
                </c:pt>
                <c:pt idx="7">
                  <c:v>0</c:v>
                </c:pt>
              </c:numCache>
            </c:numRef>
          </c:val>
          <c:extLst>
            <c:ext xmlns:c16="http://schemas.microsoft.com/office/drawing/2014/chart" uri="{C3380CC4-5D6E-409C-BE32-E72D297353CC}">
              <c16:uniqueId val="{00000000-B906-48F9-A929-70B0824703D5}"/>
            </c:ext>
          </c:extLst>
        </c:ser>
        <c:ser>
          <c:idx val="1"/>
          <c:order val="1"/>
          <c:tx>
            <c:strRef>
              <c:f>EDA!$F$16</c:f>
              <c:strCache>
                <c:ptCount val="1"/>
                <c:pt idx="0">
                  <c:v>Sum of Planned Budget (₦)</c:v>
                </c:pt>
              </c:strCache>
            </c:strRef>
          </c:tx>
          <c:spPr>
            <a:solidFill>
              <a:schemeClr val="accent2"/>
            </a:solidFill>
            <a:ln>
              <a:noFill/>
            </a:ln>
            <a:effectLst/>
          </c:spPr>
          <c:invertIfNegative val="0"/>
          <c:cat>
            <c:strRef>
              <c:f>EDA!$D$17:$D$25</c:f>
              <c:strCache>
                <c:ptCount val="8"/>
                <c:pt idx="0">
                  <c:v>Block Work</c:v>
                </c:pt>
                <c:pt idx="1">
                  <c:v>Foundation</c:v>
                </c:pt>
                <c:pt idx="2">
                  <c:v>Site Preparation</c:v>
                </c:pt>
                <c:pt idx="3">
                  <c:v>Plumbing</c:v>
                </c:pt>
                <c:pt idx="4">
                  <c:v>Roofing</c:v>
                </c:pt>
                <c:pt idx="5">
                  <c:v>Electrical Installation</c:v>
                </c:pt>
                <c:pt idx="6">
                  <c:v>Finishing</c:v>
                </c:pt>
                <c:pt idx="7">
                  <c:v>Painting</c:v>
                </c:pt>
              </c:strCache>
            </c:strRef>
          </c:cat>
          <c:val>
            <c:numRef>
              <c:f>EDA!$F$17:$F$25</c:f>
              <c:numCache>
                <c:formatCode>[$₦-470]#,##0</c:formatCode>
                <c:ptCount val="8"/>
                <c:pt idx="0">
                  <c:v>25000000</c:v>
                </c:pt>
                <c:pt idx="1">
                  <c:v>20000000</c:v>
                </c:pt>
                <c:pt idx="2">
                  <c:v>5000000</c:v>
                </c:pt>
                <c:pt idx="3">
                  <c:v>8000000</c:v>
                </c:pt>
                <c:pt idx="4">
                  <c:v>15000000</c:v>
                </c:pt>
                <c:pt idx="5">
                  <c:v>7000000</c:v>
                </c:pt>
                <c:pt idx="6">
                  <c:v>15000000</c:v>
                </c:pt>
                <c:pt idx="7">
                  <c:v>5000000</c:v>
                </c:pt>
              </c:numCache>
            </c:numRef>
          </c:val>
          <c:extLst>
            <c:ext xmlns:c16="http://schemas.microsoft.com/office/drawing/2014/chart" uri="{C3380CC4-5D6E-409C-BE32-E72D297353CC}">
              <c16:uniqueId val="{00000001-B906-48F9-A929-70B0824703D5}"/>
            </c:ext>
          </c:extLst>
        </c:ser>
        <c:ser>
          <c:idx val="2"/>
          <c:order val="2"/>
          <c:tx>
            <c:strRef>
              <c:f>EDA!$G$16</c:f>
              <c:strCache>
                <c:ptCount val="1"/>
                <c:pt idx="0">
                  <c:v>Sum of Variance (₦)</c:v>
                </c:pt>
              </c:strCache>
            </c:strRef>
          </c:tx>
          <c:spPr>
            <a:solidFill>
              <a:schemeClr val="accent3"/>
            </a:solidFill>
            <a:ln>
              <a:noFill/>
            </a:ln>
            <a:effectLst/>
          </c:spPr>
          <c:invertIfNegative val="0"/>
          <c:cat>
            <c:strRef>
              <c:f>EDA!$D$17:$D$25</c:f>
              <c:strCache>
                <c:ptCount val="8"/>
                <c:pt idx="0">
                  <c:v>Block Work</c:v>
                </c:pt>
                <c:pt idx="1">
                  <c:v>Foundation</c:v>
                </c:pt>
                <c:pt idx="2">
                  <c:v>Site Preparation</c:v>
                </c:pt>
                <c:pt idx="3">
                  <c:v>Plumbing</c:v>
                </c:pt>
                <c:pt idx="4">
                  <c:v>Roofing</c:v>
                </c:pt>
                <c:pt idx="5">
                  <c:v>Electrical Installation</c:v>
                </c:pt>
                <c:pt idx="6">
                  <c:v>Finishing</c:v>
                </c:pt>
                <c:pt idx="7">
                  <c:v>Painting</c:v>
                </c:pt>
              </c:strCache>
            </c:strRef>
          </c:cat>
          <c:val>
            <c:numRef>
              <c:f>EDA!$G$17:$G$25</c:f>
              <c:numCache>
                <c:formatCode>[$₦-470]#,##0</c:formatCode>
                <c:ptCount val="8"/>
                <c:pt idx="0">
                  <c:v>-13000000</c:v>
                </c:pt>
                <c:pt idx="1">
                  <c:v>-5000000</c:v>
                </c:pt>
                <c:pt idx="2">
                  <c:v>-2000000</c:v>
                </c:pt>
                <c:pt idx="3">
                  <c:v>8000000</c:v>
                </c:pt>
                <c:pt idx="4">
                  <c:v>15000000</c:v>
                </c:pt>
                <c:pt idx="5">
                  <c:v>7000000</c:v>
                </c:pt>
                <c:pt idx="6">
                  <c:v>15000000</c:v>
                </c:pt>
                <c:pt idx="7">
                  <c:v>5000000</c:v>
                </c:pt>
              </c:numCache>
            </c:numRef>
          </c:val>
          <c:extLst>
            <c:ext xmlns:c16="http://schemas.microsoft.com/office/drawing/2014/chart" uri="{C3380CC4-5D6E-409C-BE32-E72D297353CC}">
              <c16:uniqueId val="{00000002-B906-48F9-A929-70B0824703D5}"/>
            </c:ext>
          </c:extLst>
        </c:ser>
        <c:dLbls>
          <c:showLegendKey val="0"/>
          <c:showVal val="0"/>
          <c:showCatName val="0"/>
          <c:showSerName val="0"/>
          <c:showPercent val="0"/>
          <c:showBubbleSize val="0"/>
        </c:dLbls>
        <c:gapWidth val="219"/>
        <c:overlap val="-27"/>
        <c:axId val="1160481695"/>
        <c:axId val="1160495135"/>
      </c:barChart>
      <c:catAx>
        <c:axId val="116048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495135"/>
        <c:crosses val="autoZero"/>
        <c:auto val="1"/>
        <c:lblAlgn val="ctr"/>
        <c:lblOffset val="100"/>
        <c:noMultiLvlLbl val="0"/>
      </c:catAx>
      <c:valAx>
        <c:axId val="1160495135"/>
        <c:scaling>
          <c:orientation val="minMax"/>
        </c:scaling>
        <c:delete val="0"/>
        <c:axPos val="l"/>
        <c:numFmt formatCode="[$₦-47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481695"/>
        <c:crosses val="autoZero"/>
        <c:crossBetween val="between"/>
      </c:valAx>
      <c:spPr>
        <a:noFill/>
        <a:ln>
          <a:noFill/>
        </a:ln>
        <a:effectLst/>
      </c:spPr>
    </c:plotArea>
    <c:legend>
      <c:legendPos val="r"/>
      <c:layout>
        <c:manualLayout>
          <c:xMode val="edge"/>
          <c:yMode val="edge"/>
          <c:x val="0.63440198329412756"/>
          <c:y val="0.12782015529308838"/>
          <c:w val="0.31940723460258574"/>
          <c:h val="0.2516170692381146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[Corrected_Warehouse_Construction_Cost_Dataset.xlsx]EDA!PivotTable4</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b="1">
                <a:solidFill>
                  <a:sysClr val="windowText" lastClr="000000"/>
                </a:solidFill>
                <a:latin typeface="+mj-lt"/>
              </a:rPr>
              <a:t>Monthly</a:t>
            </a:r>
            <a:r>
              <a:rPr lang="en-US" b="1" baseline="0">
                <a:solidFill>
                  <a:sysClr val="windowText" lastClr="000000"/>
                </a:solidFill>
                <a:latin typeface="+mj-lt"/>
              </a:rPr>
              <a:t> Expenditure Trend</a:t>
            </a:r>
            <a:endParaRPr lang="en-US" b="1">
              <a:solidFill>
                <a:sysClr val="windowText" lastClr="000000"/>
              </a:solidFill>
              <a:latin typeface="+mj-lt"/>
            </a:endParaRPr>
          </a:p>
        </c:rich>
      </c:tx>
      <c:layout>
        <c:manualLayout>
          <c:xMode val="edge"/>
          <c:yMode val="edge"/>
          <c:x val="0.28504848157259"/>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layout>
            <c:manualLayout>
              <c:x val="-4.6138888888888993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1.503477690288714E-2"/>
              <c:y val="-4.8576480023330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layout>
            <c:manualLayout>
              <c:x val="-5.1902887139107609E-2"/>
              <c:y val="-0.1272801837270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5591705657229"/>
          <c:y val="7.4074187716077836E-2"/>
          <c:w val="0.79675240594925634"/>
          <c:h val="0.8416746864975212"/>
        </c:manualLayout>
      </c:layout>
      <c:lineChart>
        <c:grouping val="standard"/>
        <c:varyColors val="0"/>
        <c:ser>
          <c:idx val="0"/>
          <c:order val="0"/>
          <c:tx>
            <c:strRef>
              <c:f>EDA!$E$8</c:f>
              <c:strCache>
                <c:ptCount val="1"/>
                <c:pt idx="0">
                  <c:v>Sum of Actual Cost (₦)</c:v>
                </c:pt>
              </c:strCache>
            </c:strRef>
          </c:tx>
          <c:spPr>
            <a:ln w="28575" cap="rnd">
              <a:solidFill>
                <a:srgbClr val="002060"/>
              </a:solidFill>
              <a:round/>
            </a:ln>
            <a:effectLst/>
          </c:spPr>
          <c:marker>
            <c:symbol val="none"/>
          </c:marker>
          <c:dPt>
            <c:idx val="3"/>
            <c:marker>
              <c:symbol val="none"/>
            </c:marker>
            <c:bubble3D val="0"/>
            <c:extLst>
              <c:ext xmlns:c16="http://schemas.microsoft.com/office/drawing/2014/chart" uri="{C3380CC4-5D6E-409C-BE32-E72D297353CC}">
                <c16:uniqueId val="{00000002-4678-46BA-AB27-910320C85DF1}"/>
              </c:ext>
            </c:extLst>
          </c:dPt>
          <c:dPt>
            <c:idx val="4"/>
            <c:marker>
              <c:symbol val="none"/>
            </c:marker>
            <c:bubble3D val="0"/>
            <c:extLst>
              <c:ext xmlns:c16="http://schemas.microsoft.com/office/drawing/2014/chart" uri="{C3380CC4-5D6E-409C-BE32-E72D297353CC}">
                <c16:uniqueId val="{00000004-4678-46BA-AB27-910320C85DF1}"/>
              </c:ext>
            </c:extLst>
          </c:dPt>
          <c:dLbls>
            <c:dLbl>
              <c:idx val="3"/>
              <c:layout>
                <c:manualLayout>
                  <c:x val="-4.6138888888888993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78-46BA-AB27-910320C85DF1}"/>
                </c:ext>
              </c:extLst>
            </c:dLbl>
            <c:dLbl>
              <c:idx val="4"/>
              <c:layout>
                <c:manualLayout>
                  <c:x val="-5.1902887139107609E-2"/>
                  <c:y val="-0.1272801837270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78-46BA-AB27-910320C85D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EDA!$D$9:$D$14</c:f>
              <c:strCache>
                <c:ptCount val="5"/>
                <c:pt idx="0">
                  <c:v>Jan</c:v>
                </c:pt>
                <c:pt idx="1">
                  <c:v>Feb</c:v>
                </c:pt>
                <c:pt idx="2">
                  <c:v>Apr</c:v>
                </c:pt>
                <c:pt idx="3">
                  <c:v>Mar</c:v>
                </c:pt>
                <c:pt idx="4">
                  <c:v>May</c:v>
                </c:pt>
              </c:strCache>
            </c:strRef>
          </c:cat>
          <c:val>
            <c:numRef>
              <c:f>EDA!$E$9:$E$14</c:f>
              <c:numCache>
                <c:formatCode>[$₦-470]#,##0</c:formatCode>
                <c:ptCount val="5"/>
                <c:pt idx="0">
                  <c:v>21600000</c:v>
                </c:pt>
                <c:pt idx="1">
                  <c:v>20400000</c:v>
                </c:pt>
                <c:pt idx="2">
                  <c:v>19000000</c:v>
                </c:pt>
                <c:pt idx="3">
                  <c:v>9000000</c:v>
                </c:pt>
                <c:pt idx="4">
                  <c:v>0</c:v>
                </c:pt>
              </c:numCache>
            </c:numRef>
          </c:val>
          <c:smooth val="1"/>
          <c:extLst>
            <c:ext xmlns:c16="http://schemas.microsoft.com/office/drawing/2014/chart" uri="{C3380CC4-5D6E-409C-BE32-E72D297353CC}">
              <c16:uniqueId val="{00000000-4678-46BA-AB27-910320C85DF1}"/>
            </c:ext>
          </c:extLst>
        </c:ser>
        <c:ser>
          <c:idx val="1"/>
          <c:order val="1"/>
          <c:tx>
            <c:strRef>
              <c:f>EDA!$F$8</c:f>
              <c:strCache>
                <c:ptCount val="1"/>
                <c:pt idx="0">
                  <c:v>% of Actual Cost per Month</c:v>
                </c:pt>
              </c:strCache>
            </c:strRef>
          </c:tx>
          <c:spPr>
            <a:ln w="28575" cap="rnd">
              <a:solidFill>
                <a:schemeClr val="accent2"/>
              </a:solidFill>
              <a:round/>
            </a:ln>
            <a:effectLst/>
          </c:spPr>
          <c:marker>
            <c:symbol val="none"/>
          </c:marker>
          <c:dPt>
            <c:idx val="4"/>
            <c:marker>
              <c:symbol val="none"/>
            </c:marker>
            <c:bubble3D val="0"/>
            <c:extLst>
              <c:ext xmlns:c16="http://schemas.microsoft.com/office/drawing/2014/chart" uri="{C3380CC4-5D6E-409C-BE32-E72D297353CC}">
                <c16:uniqueId val="{00000003-4678-46BA-AB27-910320C85DF1}"/>
              </c:ext>
            </c:extLst>
          </c:dPt>
          <c:dLbls>
            <c:dLbl>
              <c:idx val="4"/>
              <c:layout>
                <c:manualLayout>
                  <c:x val="-1.503477690288714E-2"/>
                  <c:y val="-4.8576480023330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78-46BA-AB27-910320C85D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EDA!$D$9:$D$14</c:f>
              <c:strCache>
                <c:ptCount val="5"/>
                <c:pt idx="0">
                  <c:v>Jan</c:v>
                </c:pt>
                <c:pt idx="1">
                  <c:v>Feb</c:v>
                </c:pt>
                <c:pt idx="2">
                  <c:v>Apr</c:v>
                </c:pt>
                <c:pt idx="3">
                  <c:v>Mar</c:v>
                </c:pt>
                <c:pt idx="4">
                  <c:v>May</c:v>
                </c:pt>
              </c:strCache>
            </c:strRef>
          </c:cat>
          <c:val>
            <c:numRef>
              <c:f>EDA!$F$9:$F$14</c:f>
              <c:numCache>
                <c:formatCode>0.0%</c:formatCode>
                <c:ptCount val="5"/>
                <c:pt idx="0">
                  <c:v>0.30857142857142855</c:v>
                </c:pt>
                <c:pt idx="1">
                  <c:v>0.29142857142857143</c:v>
                </c:pt>
                <c:pt idx="2">
                  <c:v>0.27142857142857141</c:v>
                </c:pt>
                <c:pt idx="3">
                  <c:v>0.12857142857142856</c:v>
                </c:pt>
                <c:pt idx="4">
                  <c:v>0</c:v>
                </c:pt>
              </c:numCache>
            </c:numRef>
          </c:val>
          <c:smooth val="0"/>
          <c:extLst>
            <c:ext xmlns:c16="http://schemas.microsoft.com/office/drawing/2014/chart" uri="{C3380CC4-5D6E-409C-BE32-E72D297353CC}">
              <c16:uniqueId val="{00000001-4678-46BA-AB27-910320C85DF1}"/>
            </c:ext>
          </c:extLst>
        </c:ser>
        <c:dLbls>
          <c:dLblPos val="t"/>
          <c:showLegendKey val="0"/>
          <c:showVal val="1"/>
          <c:showCatName val="0"/>
          <c:showSerName val="0"/>
          <c:showPercent val="0"/>
          <c:showBubbleSize val="0"/>
        </c:dLbls>
        <c:smooth val="0"/>
        <c:axId val="1172933151"/>
        <c:axId val="1172925471"/>
      </c:lineChart>
      <c:catAx>
        <c:axId val="117293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2925471"/>
        <c:crosses val="autoZero"/>
        <c:auto val="1"/>
        <c:lblAlgn val="ctr"/>
        <c:lblOffset val="100"/>
        <c:noMultiLvlLbl val="0"/>
      </c:catAx>
      <c:valAx>
        <c:axId val="1172925471"/>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7293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[Corrected_Warehouse_Construction_Cost_Dataset.xlsx]EDA!PivotTable2</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b="1">
                <a:solidFill>
                  <a:sysClr val="windowText" lastClr="000000"/>
                </a:solidFill>
                <a:latin typeface="+mj-lt"/>
              </a:rPr>
              <a:t>Cost per</a:t>
            </a:r>
            <a:r>
              <a:rPr lang="en-US" b="1" baseline="0">
                <a:solidFill>
                  <a:sysClr val="windowText" lastClr="000000"/>
                </a:solidFill>
                <a:latin typeface="+mj-lt"/>
              </a:rPr>
              <a:t> Material</a:t>
            </a:r>
            <a:endParaRPr lang="en-US"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60976665967186"/>
          <c:y val="0.15782407407407409"/>
          <c:w val="0.69909864391951004"/>
          <c:h val="0.72088764946048411"/>
        </c:manualLayout>
      </c:layout>
      <c:barChart>
        <c:barDir val="bar"/>
        <c:grouping val="clustered"/>
        <c:varyColors val="0"/>
        <c:ser>
          <c:idx val="0"/>
          <c:order val="0"/>
          <c:tx>
            <c:strRef>
              <c:f>EDA!$B$12</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EDA!$A$13:$A$21</c:f>
              <c:strCache>
                <c:ptCount val="8"/>
                <c:pt idx="0">
                  <c:v>Paint</c:v>
                </c:pt>
                <c:pt idx="1">
                  <c:v>Sand</c:v>
                </c:pt>
                <c:pt idx="2">
                  <c:v>Pipes</c:v>
                </c:pt>
                <c:pt idx="3">
                  <c:v>Electrical Cables</c:v>
                </c:pt>
                <c:pt idx="4">
                  <c:v>Roof Sheets</c:v>
                </c:pt>
                <c:pt idx="5">
                  <c:v>Gravel</c:v>
                </c:pt>
                <c:pt idx="6">
                  <c:v>Cement</c:v>
                </c:pt>
                <c:pt idx="7">
                  <c:v>Blocks</c:v>
                </c:pt>
              </c:strCache>
            </c:strRef>
          </c:cat>
          <c:val>
            <c:numRef>
              <c:f>EDA!$B$13:$B$21</c:f>
              <c:numCache>
                <c:formatCode>[$₦-470]#,##0</c:formatCode>
                <c:ptCount val="8"/>
                <c:pt idx="0">
                  <c:v>0</c:v>
                </c:pt>
                <c:pt idx="1">
                  <c:v>0</c:v>
                </c:pt>
                <c:pt idx="2">
                  <c:v>0</c:v>
                </c:pt>
                <c:pt idx="3">
                  <c:v>0</c:v>
                </c:pt>
                <c:pt idx="4">
                  <c:v>0</c:v>
                </c:pt>
                <c:pt idx="5">
                  <c:v>7000000</c:v>
                </c:pt>
                <c:pt idx="6">
                  <c:v>25000000</c:v>
                </c:pt>
                <c:pt idx="7">
                  <c:v>38000000</c:v>
                </c:pt>
              </c:numCache>
            </c:numRef>
          </c:val>
          <c:extLst>
            <c:ext xmlns:c16="http://schemas.microsoft.com/office/drawing/2014/chart" uri="{C3380CC4-5D6E-409C-BE32-E72D297353CC}">
              <c16:uniqueId val="{00000000-E091-445F-9F5F-FFE467CF7084}"/>
            </c:ext>
          </c:extLst>
        </c:ser>
        <c:dLbls>
          <c:dLblPos val="outEnd"/>
          <c:showLegendKey val="0"/>
          <c:showVal val="1"/>
          <c:showCatName val="0"/>
          <c:showSerName val="0"/>
          <c:showPercent val="0"/>
          <c:showBubbleSize val="0"/>
        </c:dLbls>
        <c:gapWidth val="182"/>
        <c:axId val="1160481695"/>
        <c:axId val="1160482175"/>
      </c:barChart>
      <c:catAx>
        <c:axId val="116048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482175"/>
        <c:crosses val="autoZero"/>
        <c:auto val="1"/>
        <c:lblAlgn val="ctr"/>
        <c:lblOffset val="100"/>
        <c:noMultiLvlLbl val="0"/>
      </c:catAx>
      <c:valAx>
        <c:axId val="1160482175"/>
        <c:scaling>
          <c:orientation val="minMax"/>
        </c:scaling>
        <c:delete val="1"/>
        <c:axPos val="b"/>
        <c:numFmt formatCode="[$₦-470]#,##0" sourceLinked="1"/>
        <c:majorTickMark val="none"/>
        <c:minorTickMark val="none"/>
        <c:tickLblPos val="nextTo"/>
        <c:crossAx val="116048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[Corrected_Warehouse_Construction_Cost_Dataset.xlsx]EDA!PivotTable3</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b="1">
                <a:solidFill>
                  <a:sysClr val="windowText" lastClr="000000"/>
                </a:solidFill>
                <a:latin typeface="+mj-lt"/>
              </a:rPr>
              <a:t>Cost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dLbl>
          <c:idx val="0"/>
          <c:layout>
            <c:manualLayout>
              <c:x val="-1.0185067526415994E-16"/>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5555555555555558E-3"/>
              <c:y val="-6.94444444444444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180446194225723E-2"/>
                  <c:h val="6.0115923009623796E-2"/>
                </c:manualLayout>
              </c15:layout>
            </c:ext>
          </c:extLst>
        </c:dLbl>
      </c:pivotFmt>
      <c:pivotFmt>
        <c:idx val="4"/>
        <c:spPr>
          <a:solidFill>
            <a:schemeClr val="accent2"/>
          </a:solidFill>
          <a:ln>
            <a:noFill/>
          </a:ln>
          <a:effectLst/>
        </c:spPr>
        <c:dLbl>
          <c:idx val="0"/>
          <c:layout>
            <c:manualLayout>
              <c:x val="1.38888888888888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dLbl>
          <c:idx val="0"/>
          <c:layout>
            <c:manualLayout>
              <c:x val="-1.0185067526415994E-16"/>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38888888888888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5.5555555555555558E-3"/>
              <c:y val="-6.94444444444444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180446194225723E-2"/>
                  <c:h val="6.0115923009623796E-2"/>
                </c:manualLayout>
              </c15:layout>
            </c:ext>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dLbl>
          <c:idx val="0"/>
          <c:layout>
            <c:manualLayout>
              <c:x val="-1.0185067526415994E-16"/>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38888888888888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5.5555555555555558E-3"/>
              <c:y val="-6.94444444444444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180446194225723E-2"/>
                  <c:h val="6.0115923009623796E-2"/>
                </c:manualLayout>
              </c15:layout>
            </c:ext>
          </c:extLst>
        </c:dLbl>
      </c:pivotFmt>
    </c:pivotFmts>
    <c:plotArea>
      <c:layout/>
      <c:barChart>
        <c:barDir val="col"/>
        <c:grouping val="clustered"/>
        <c:varyColors val="0"/>
        <c:ser>
          <c:idx val="0"/>
          <c:order val="0"/>
          <c:tx>
            <c:strRef>
              <c:f>EDA!$E$1</c:f>
              <c:strCache>
                <c:ptCount val="1"/>
                <c:pt idx="0">
                  <c:v>Sum of Actual Cost (₦)</c:v>
                </c:pt>
              </c:strCache>
            </c:strRef>
          </c:tx>
          <c:spPr>
            <a:solidFill>
              <a:srgbClr val="002060"/>
            </a:solidFill>
            <a:ln>
              <a:noFill/>
            </a:ln>
            <a:effectLst/>
          </c:spPr>
          <c:invertIfNegative val="0"/>
          <c:dPt>
            <c:idx val="3"/>
            <c:invertIfNegative val="0"/>
            <c:bubble3D val="0"/>
            <c:extLst>
              <c:ext xmlns:c16="http://schemas.microsoft.com/office/drawing/2014/chart" uri="{C3380CC4-5D6E-409C-BE32-E72D297353CC}">
                <c16:uniqueId val="{00000000-DC1A-49FE-A39A-E3E5938B608C}"/>
              </c:ext>
            </c:extLst>
          </c:dPt>
          <c:dLbls>
            <c:dLbl>
              <c:idx val="3"/>
              <c:layout>
                <c:manualLayout>
                  <c:x val="-1.0185067526415994E-16"/>
                  <c:y val="-9.25925925925926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1A-49FE-A39A-E3E5938B60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EDA!$D$2:$D$6</c:f>
              <c:strCache>
                <c:ptCount val="4"/>
                <c:pt idx="0">
                  <c:v>Prime Materials Co.</c:v>
                </c:pt>
                <c:pt idx="1">
                  <c:v>Mega Builders Depot</c:v>
                </c:pt>
                <c:pt idx="2">
                  <c:v>BuildMart Ltd</c:v>
                </c:pt>
                <c:pt idx="3">
                  <c:v>Alpha Construction Supply</c:v>
                </c:pt>
              </c:strCache>
            </c:strRef>
          </c:cat>
          <c:val>
            <c:numRef>
              <c:f>EDA!$E$2:$E$6</c:f>
              <c:numCache>
                <c:formatCode>[$₦-470]#,##0</c:formatCode>
                <c:ptCount val="4"/>
                <c:pt idx="0">
                  <c:v>33000000</c:v>
                </c:pt>
                <c:pt idx="1">
                  <c:v>19000000</c:v>
                </c:pt>
                <c:pt idx="2">
                  <c:v>16600000</c:v>
                </c:pt>
                <c:pt idx="3">
                  <c:v>1400000</c:v>
                </c:pt>
              </c:numCache>
            </c:numRef>
          </c:val>
          <c:extLst>
            <c:ext xmlns:c16="http://schemas.microsoft.com/office/drawing/2014/chart" uri="{C3380CC4-5D6E-409C-BE32-E72D297353CC}">
              <c16:uniqueId val="{00000001-DC1A-49FE-A39A-E3E5938B608C}"/>
            </c:ext>
          </c:extLst>
        </c:ser>
        <c:ser>
          <c:idx val="1"/>
          <c:order val="1"/>
          <c:tx>
            <c:strRef>
              <c:f>EDA!$F$1</c:f>
              <c:strCache>
                <c:ptCount val="1"/>
                <c:pt idx="0">
                  <c:v>% of Actual Cost per Supplier</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2-DC1A-49FE-A39A-E3E5938B608C}"/>
              </c:ext>
            </c:extLst>
          </c:dPt>
          <c:dPt>
            <c:idx val="3"/>
            <c:invertIfNegative val="0"/>
            <c:bubble3D val="0"/>
            <c:extLst>
              <c:ext xmlns:c16="http://schemas.microsoft.com/office/drawing/2014/chart" uri="{C3380CC4-5D6E-409C-BE32-E72D297353CC}">
                <c16:uniqueId val="{00000003-DC1A-49FE-A39A-E3E5938B608C}"/>
              </c:ext>
            </c:extLst>
          </c:dPt>
          <c:dLbls>
            <c:dLbl>
              <c:idx val="0"/>
              <c:layout>
                <c:manualLayout>
                  <c:x val="1.388888888888883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1A-49FE-A39A-E3E5938B608C}"/>
                </c:ext>
              </c:extLst>
            </c:dLbl>
            <c:dLbl>
              <c:idx val="3"/>
              <c:layout>
                <c:manualLayout>
                  <c:x val="5.5555555555555558E-3"/>
                  <c:y val="-6.94444444444444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180446194225723E-2"/>
                      <c:h val="6.0115923009623796E-2"/>
                    </c:manualLayout>
                  </c15:layout>
                </c:ext>
                <c:ext xmlns:c16="http://schemas.microsoft.com/office/drawing/2014/chart" uri="{C3380CC4-5D6E-409C-BE32-E72D297353CC}">
                  <c16:uniqueId val="{00000003-DC1A-49FE-A39A-E3E5938B60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EDA!$D$2:$D$6</c:f>
              <c:strCache>
                <c:ptCount val="4"/>
                <c:pt idx="0">
                  <c:v>Prime Materials Co.</c:v>
                </c:pt>
                <c:pt idx="1">
                  <c:v>Mega Builders Depot</c:v>
                </c:pt>
                <c:pt idx="2">
                  <c:v>BuildMart Ltd</c:v>
                </c:pt>
                <c:pt idx="3">
                  <c:v>Alpha Construction Supply</c:v>
                </c:pt>
              </c:strCache>
            </c:strRef>
          </c:cat>
          <c:val>
            <c:numRef>
              <c:f>EDA!$F$2:$F$6</c:f>
              <c:numCache>
                <c:formatCode>0.0%</c:formatCode>
                <c:ptCount val="4"/>
                <c:pt idx="0">
                  <c:v>0.47142857142857142</c:v>
                </c:pt>
                <c:pt idx="1">
                  <c:v>0.27142857142857141</c:v>
                </c:pt>
                <c:pt idx="2">
                  <c:v>0.23714285714285716</c:v>
                </c:pt>
                <c:pt idx="3">
                  <c:v>0.02</c:v>
                </c:pt>
              </c:numCache>
            </c:numRef>
          </c:val>
          <c:extLst>
            <c:ext xmlns:c16="http://schemas.microsoft.com/office/drawing/2014/chart" uri="{C3380CC4-5D6E-409C-BE32-E72D297353CC}">
              <c16:uniqueId val="{00000004-DC1A-49FE-A39A-E3E5938B608C}"/>
            </c:ext>
          </c:extLst>
        </c:ser>
        <c:dLbls>
          <c:dLblPos val="outEnd"/>
          <c:showLegendKey val="0"/>
          <c:showVal val="1"/>
          <c:showCatName val="0"/>
          <c:showSerName val="0"/>
          <c:showPercent val="0"/>
          <c:showBubbleSize val="0"/>
        </c:dLbls>
        <c:gapWidth val="219"/>
        <c:overlap val="-27"/>
        <c:axId val="1172934591"/>
        <c:axId val="1172935071"/>
      </c:barChart>
      <c:catAx>
        <c:axId val="117293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2935071"/>
        <c:crosses val="autoZero"/>
        <c:auto val="1"/>
        <c:lblAlgn val="ctr"/>
        <c:lblOffset val="100"/>
        <c:noMultiLvlLbl val="0"/>
      </c:catAx>
      <c:valAx>
        <c:axId val="1172935071"/>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7293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[Corrected_Warehouse_Construction_Cost_Dataset.xlsx]EDA!PivotTable1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r>
              <a:rPr lang="en-US" b="1">
                <a:solidFill>
                  <a:sysClr val="windowText" lastClr="000000"/>
                </a:solidFill>
                <a:latin typeface="+mj-lt"/>
              </a:rPr>
              <a:t>Labour Cost per Activity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920384951881"/>
          <c:y val="0.16858814523184601"/>
          <c:w val="0.79825240594925639"/>
          <c:h val="0.43910688247302421"/>
        </c:manualLayout>
      </c:layout>
      <c:barChart>
        <c:barDir val="col"/>
        <c:grouping val="clustered"/>
        <c:varyColors val="0"/>
        <c:ser>
          <c:idx val="0"/>
          <c:order val="0"/>
          <c:tx>
            <c:strRef>
              <c:f>EDA!$B$1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EDA!$A$2:$A$10</c:f>
              <c:strCache>
                <c:ptCount val="8"/>
                <c:pt idx="0">
                  <c:v>Wall construction</c:v>
                </c:pt>
                <c:pt idx="1">
                  <c:v>Concrete foundation and reinforcement</c:v>
                </c:pt>
                <c:pt idx="2">
                  <c:v>Land clearing and preparation</c:v>
                </c:pt>
                <c:pt idx="3">
                  <c:v>Plastering and finishing works</c:v>
                </c:pt>
                <c:pt idx="4">
                  <c:v>Roof installation</c:v>
                </c:pt>
                <c:pt idx="5">
                  <c:v>Electrical wiring</c:v>
                </c:pt>
                <c:pt idx="6">
                  <c:v>Pipe installation</c:v>
                </c:pt>
                <c:pt idx="7">
                  <c:v>Painting works</c:v>
                </c:pt>
              </c:strCache>
            </c:strRef>
          </c:cat>
          <c:val>
            <c:numRef>
              <c:f>EDA!$B$2:$B$10</c:f>
              <c:numCache>
                <c:formatCode>[$₦-470]#,##0</c:formatCode>
                <c:ptCount val="8"/>
                <c:pt idx="0">
                  <c:v>9500000</c:v>
                </c:pt>
                <c:pt idx="1">
                  <c:v>6250000</c:v>
                </c:pt>
                <c:pt idx="2">
                  <c:v>1750000</c:v>
                </c:pt>
                <c:pt idx="3">
                  <c:v>0</c:v>
                </c:pt>
                <c:pt idx="4">
                  <c:v>0</c:v>
                </c:pt>
                <c:pt idx="5">
                  <c:v>0</c:v>
                </c:pt>
                <c:pt idx="6">
                  <c:v>0</c:v>
                </c:pt>
                <c:pt idx="7">
                  <c:v>0</c:v>
                </c:pt>
              </c:numCache>
            </c:numRef>
          </c:val>
          <c:extLst>
            <c:ext xmlns:c16="http://schemas.microsoft.com/office/drawing/2014/chart" uri="{C3380CC4-5D6E-409C-BE32-E72D297353CC}">
              <c16:uniqueId val="{00000000-F748-4EB8-A7E9-03366FA31A15}"/>
            </c:ext>
          </c:extLst>
        </c:ser>
        <c:dLbls>
          <c:dLblPos val="outEnd"/>
          <c:showLegendKey val="0"/>
          <c:showVal val="1"/>
          <c:showCatName val="0"/>
          <c:showSerName val="0"/>
          <c:showPercent val="0"/>
          <c:showBubbleSize val="0"/>
        </c:dLbls>
        <c:gapWidth val="219"/>
        <c:overlap val="-27"/>
        <c:axId val="1160502815"/>
        <c:axId val="1160492255"/>
      </c:barChart>
      <c:catAx>
        <c:axId val="116050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492255"/>
        <c:crosses val="autoZero"/>
        <c:auto val="1"/>
        <c:lblAlgn val="ctr"/>
        <c:lblOffset val="100"/>
        <c:noMultiLvlLbl val="0"/>
      </c:catAx>
      <c:valAx>
        <c:axId val="1160492255"/>
        <c:scaling>
          <c:orientation val="minMax"/>
        </c:scaling>
        <c:delete val="0"/>
        <c:axPos val="l"/>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6050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6816348673391254"/>
          <c:y val="0.17400248605059651"/>
          <c:w val="0.79855281428525882"/>
          <c:h val="0.71716612395898938"/>
        </c:manualLayout>
      </c:layout>
      <c:barChart>
        <c:barDir val="col"/>
        <c:grouping val="clustered"/>
        <c:varyColors val="0"/>
        <c:ser>
          <c:idx val="0"/>
          <c:order val="0"/>
          <c:tx>
            <c:strRef>
              <c:f>EDA!$I$22</c:f>
              <c:strCache>
                <c:ptCount val="1"/>
                <c:pt idx="0">
                  <c:v>Amount</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EDA!$H$23:$H$24</c:f>
              <c:strCache>
                <c:ptCount val="2"/>
                <c:pt idx="0">
                  <c:v>Remaining Budget Available</c:v>
                </c:pt>
                <c:pt idx="1">
                  <c:v>Remaining Completion Cost</c:v>
                </c:pt>
              </c:strCache>
            </c:strRef>
          </c:cat>
          <c:val>
            <c:numRef>
              <c:f>EDA!$I$23:$I$24</c:f>
              <c:numCache>
                <c:formatCode>[$₦-470]#,##0</c:formatCode>
                <c:ptCount val="2"/>
                <c:pt idx="0">
                  <c:v>30000000</c:v>
                </c:pt>
                <c:pt idx="1">
                  <c:v>50000000</c:v>
                </c:pt>
              </c:numCache>
            </c:numRef>
          </c:val>
          <c:extLst>
            <c:ext xmlns:c16="http://schemas.microsoft.com/office/drawing/2014/chart" uri="{C3380CC4-5D6E-409C-BE32-E72D297353CC}">
              <c16:uniqueId val="{00000000-D866-4D87-99CF-CEDC5876917F}"/>
            </c:ext>
          </c:extLst>
        </c:ser>
        <c:dLbls>
          <c:dLblPos val="outEnd"/>
          <c:showLegendKey val="0"/>
          <c:showVal val="1"/>
          <c:showCatName val="0"/>
          <c:showSerName val="0"/>
          <c:showPercent val="0"/>
          <c:showBubbleSize val="0"/>
        </c:dLbls>
        <c:gapWidth val="219"/>
        <c:overlap val="-27"/>
        <c:axId val="426478191"/>
        <c:axId val="426478671"/>
      </c:barChart>
      <c:catAx>
        <c:axId val="426478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6478671"/>
        <c:crosses val="autoZero"/>
        <c:auto val="1"/>
        <c:lblAlgn val="ctr"/>
        <c:lblOffset val="100"/>
        <c:noMultiLvlLbl val="0"/>
      </c:catAx>
      <c:valAx>
        <c:axId val="426478671"/>
        <c:scaling>
          <c:orientation val="minMax"/>
        </c:scaling>
        <c:delete val="0"/>
        <c:axPos val="l"/>
        <c:numFmt formatCode="[$₦-47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64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10886</xdr:colOff>
      <xdr:row>0</xdr:row>
      <xdr:rowOff>87085</xdr:rowOff>
    </xdr:from>
    <xdr:to>
      <xdr:col>28</xdr:col>
      <xdr:colOff>10886</xdr:colOff>
      <xdr:row>44</xdr:row>
      <xdr:rowOff>52075</xdr:rowOff>
    </xdr:to>
    <xdr:grpSp>
      <xdr:nvGrpSpPr>
        <xdr:cNvPr id="7" name="Group 6">
          <a:extLst>
            <a:ext uri="{FF2B5EF4-FFF2-40B4-BE49-F238E27FC236}">
              <a16:creationId xmlns:a16="http://schemas.microsoft.com/office/drawing/2014/main" id="{6E8597BF-810E-4316-8F28-BE9BD982AA67}"/>
            </a:ext>
          </a:extLst>
        </xdr:cNvPr>
        <xdr:cNvGrpSpPr/>
      </xdr:nvGrpSpPr>
      <xdr:grpSpPr>
        <a:xfrm>
          <a:off x="10886" y="87085"/>
          <a:ext cx="17018000" cy="7947847"/>
          <a:chOff x="0" y="91440"/>
          <a:chExt cx="17068800" cy="6812280"/>
        </a:xfrm>
      </xdr:grpSpPr>
      <xdr:sp macro="" textlink="">
        <xdr:nvSpPr>
          <xdr:cNvPr id="3" name="Rectangle 2">
            <a:extLst>
              <a:ext uri="{FF2B5EF4-FFF2-40B4-BE49-F238E27FC236}">
                <a16:creationId xmlns:a16="http://schemas.microsoft.com/office/drawing/2014/main" id="{379B74D8-5518-775A-086C-84294FC3BA0D}"/>
              </a:ext>
            </a:extLst>
          </xdr:cNvPr>
          <xdr:cNvSpPr/>
        </xdr:nvSpPr>
        <xdr:spPr>
          <a:xfrm>
            <a:off x="0" y="91440"/>
            <a:ext cx="17068800" cy="1729740"/>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Rectangle: Rounded Corners 1">
            <a:extLst>
              <a:ext uri="{FF2B5EF4-FFF2-40B4-BE49-F238E27FC236}">
                <a16:creationId xmlns:a16="http://schemas.microsoft.com/office/drawing/2014/main" id="{AE3EE1C3-8712-00DE-8C54-3F573C4E3F08}"/>
              </a:ext>
            </a:extLst>
          </xdr:cNvPr>
          <xdr:cNvSpPr/>
        </xdr:nvSpPr>
        <xdr:spPr>
          <a:xfrm>
            <a:off x="0" y="838200"/>
            <a:ext cx="16741140" cy="6065520"/>
          </a:xfrm>
          <a:prstGeom prst="roundRect">
            <a:avLst>
              <a:gd name="adj" fmla="val 135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594360</xdr:colOff>
      <xdr:row>1</xdr:row>
      <xdr:rowOff>7620</xdr:rowOff>
    </xdr:from>
    <xdr:to>
      <xdr:col>15</xdr:col>
      <xdr:colOff>502920</xdr:colOff>
      <xdr:row>4</xdr:row>
      <xdr:rowOff>7620</xdr:rowOff>
    </xdr:to>
    <xdr:grpSp>
      <xdr:nvGrpSpPr>
        <xdr:cNvPr id="6" name="Group 5">
          <a:extLst>
            <a:ext uri="{FF2B5EF4-FFF2-40B4-BE49-F238E27FC236}">
              <a16:creationId xmlns:a16="http://schemas.microsoft.com/office/drawing/2014/main" id="{DA42C08D-A716-E947-CE47-5CB04E26A249}"/>
            </a:ext>
          </a:extLst>
        </xdr:cNvPr>
        <xdr:cNvGrpSpPr/>
      </xdr:nvGrpSpPr>
      <xdr:grpSpPr>
        <a:xfrm>
          <a:off x="1202146" y="189049"/>
          <a:ext cx="8417560" cy="544285"/>
          <a:chOff x="2705100" y="220980"/>
          <a:chExt cx="8595360" cy="640080"/>
        </a:xfrm>
      </xdr:grpSpPr>
      <xdr:sp macro="" textlink="">
        <xdr:nvSpPr>
          <xdr:cNvPr id="4" name="TextBox 3">
            <a:extLst>
              <a:ext uri="{FF2B5EF4-FFF2-40B4-BE49-F238E27FC236}">
                <a16:creationId xmlns:a16="http://schemas.microsoft.com/office/drawing/2014/main" id="{D421D42B-6C39-D04F-FE2C-B71A1D0C2C3E}"/>
              </a:ext>
            </a:extLst>
          </xdr:cNvPr>
          <xdr:cNvSpPr txBox="1"/>
        </xdr:nvSpPr>
        <xdr:spPr>
          <a:xfrm>
            <a:off x="2705100" y="220980"/>
            <a:ext cx="8595360" cy="4114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a:solidFill>
                  <a:schemeClr val="bg1"/>
                </a:solidFill>
              </a:rPr>
              <a:t>WAREHOUSE CONSTRUCTION PROJECT COST ANALYSIS</a:t>
            </a:r>
          </a:p>
        </xdr:txBody>
      </xdr:sp>
      <xdr:sp macro="" textlink="">
        <xdr:nvSpPr>
          <xdr:cNvPr id="5" name="TextBox 4">
            <a:extLst>
              <a:ext uri="{FF2B5EF4-FFF2-40B4-BE49-F238E27FC236}">
                <a16:creationId xmlns:a16="http://schemas.microsoft.com/office/drawing/2014/main" id="{05FB8ABC-6047-5798-4E29-E67109B396A2}"/>
              </a:ext>
            </a:extLst>
          </xdr:cNvPr>
          <xdr:cNvSpPr txBox="1"/>
        </xdr:nvSpPr>
        <xdr:spPr>
          <a:xfrm>
            <a:off x="2705100" y="624840"/>
            <a:ext cx="318516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chemeClr val="bg1"/>
                </a:solidFill>
              </a:rPr>
              <a:t>Project</a:t>
            </a:r>
            <a:r>
              <a:rPr lang="en-US" sz="1400" baseline="0">
                <a:solidFill>
                  <a:schemeClr val="bg1"/>
                </a:solidFill>
              </a:rPr>
              <a:t> Financial Performance Overview</a:t>
            </a:r>
            <a:endParaRPr lang="en-US" sz="1400">
              <a:solidFill>
                <a:schemeClr val="bg1"/>
              </a:solidFill>
            </a:endParaRPr>
          </a:p>
        </xdr:txBody>
      </xdr:sp>
    </xdr:grpSp>
    <xdr:clientData/>
  </xdr:twoCellAnchor>
  <xdr:twoCellAnchor>
    <xdr:from>
      <xdr:col>3</xdr:col>
      <xdr:colOff>476794</xdr:colOff>
      <xdr:row>6</xdr:row>
      <xdr:rowOff>1676</xdr:rowOff>
    </xdr:from>
    <xdr:to>
      <xdr:col>7</xdr:col>
      <xdr:colOff>68362</xdr:colOff>
      <xdr:row>11</xdr:row>
      <xdr:rowOff>164526</xdr:rowOff>
    </xdr:to>
    <xdr:grpSp>
      <xdr:nvGrpSpPr>
        <xdr:cNvPr id="12" name="Group 11">
          <a:extLst>
            <a:ext uri="{FF2B5EF4-FFF2-40B4-BE49-F238E27FC236}">
              <a16:creationId xmlns:a16="http://schemas.microsoft.com/office/drawing/2014/main" id="{E5782079-A853-E0B4-B1DD-6C99B636F05B}"/>
            </a:ext>
          </a:extLst>
        </xdr:cNvPr>
        <xdr:cNvGrpSpPr/>
      </xdr:nvGrpSpPr>
      <xdr:grpSpPr>
        <a:xfrm>
          <a:off x="2300151" y="1090247"/>
          <a:ext cx="2022711" cy="1069993"/>
          <a:chOff x="2788920" y="1135380"/>
          <a:chExt cx="1927860" cy="1036320"/>
        </a:xfrm>
      </xdr:grpSpPr>
      <xdr:sp macro="" textlink="">
        <xdr:nvSpPr>
          <xdr:cNvPr id="8" name="Rectangle: Rounded Corners 7">
            <a:extLst>
              <a:ext uri="{FF2B5EF4-FFF2-40B4-BE49-F238E27FC236}">
                <a16:creationId xmlns:a16="http://schemas.microsoft.com/office/drawing/2014/main" id="{1C16BEB6-E37A-635A-B3CE-053D6EBE6EEA}"/>
              </a:ext>
            </a:extLst>
          </xdr:cNvPr>
          <xdr:cNvSpPr/>
        </xdr:nvSpPr>
        <xdr:spPr>
          <a:xfrm>
            <a:off x="2788920" y="1135380"/>
            <a:ext cx="1927860" cy="1036320"/>
          </a:xfrm>
          <a:prstGeom prst="roundRect">
            <a:avLst/>
          </a:prstGeom>
          <a:solidFill>
            <a:sysClr val="window" lastClr="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a:extLst>
              <a:ext uri="{FF2B5EF4-FFF2-40B4-BE49-F238E27FC236}">
                <a16:creationId xmlns:a16="http://schemas.microsoft.com/office/drawing/2014/main" id="{05EBD67B-B6EB-9625-5FB8-9209FD43E974}"/>
              </a:ext>
            </a:extLst>
          </xdr:cNvPr>
          <xdr:cNvGrpSpPr/>
        </xdr:nvGrpSpPr>
        <xdr:grpSpPr>
          <a:xfrm>
            <a:off x="2948940" y="1211580"/>
            <a:ext cx="1668780" cy="685800"/>
            <a:chOff x="2948940" y="1211580"/>
            <a:chExt cx="1668780" cy="685800"/>
          </a:xfrm>
        </xdr:grpSpPr>
        <xdr:sp macro="" textlink="">
          <xdr:nvSpPr>
            <xdr:cNvPr id="9" name="Rectangle: Rounded Corners 8">
              <a:extLst>
                <a:ext uri="{FF2B5EF4-FFF2-40B4-BE49-F238E27FC236}">
                  <a16:creationId xmlns:a16="http://schemas.microsoft.com/office/drawing/2014/main" id="{1873FAFF-0F86-E9B0-7121-173960146A29}"/>
                </a:ext>
              </a:extLst>
            </xdr:cNvPr>
            <xdr:cNvSpPr/>
          </xdr:nvSpPr>
          <xdr:spPr>
            <a:xfrm>
              <a:off x="2948940" y="1211580"/>
              <a:ext cx="166878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a:t>
              </a:r>
              <a:r>
                <a:rPr lang="en-US" sz="1100" b="1" baseline="0">
                  <a:solidFill>
                    <a:sysClr val="windowText" lastClr="000000"/>
                  </a:solidFill>
                </a:rPr>
                <a:t> PROJECT BUDGET</a:t>
              </a:r>
              <a:endParaRPr lang="en-US" sz="1100" b="1">
                <a:solidFill>
                  <a:sysClr val="windowText" lastClr="000000"/>
                </a:solidFill>
              </a:endParaRPr>
            </a:p>
          </xdr:txBody>
        </xdr:sp>
        <xdr:sp macro="" textlink="EDA!F25">
          <xdr:nvSpPr>
            <xdr:cNvPr id="10" name="Rectangle: Rounded Corners 9">
              <a:extLst>
                <a:ext uri="{FF2B5EF4-FFF2-40B4-BE49-F238E27FC236}">
                  <a16:creationId xmlns:a16="http://schemas.microsoft.com/office/drawing/2014/main" id="{4F2E59A6-3873-D8A7-839B-221543E2FE97}"/>
                </a:ext>
              </a:extLst>
            </xdr:cNvPr>
            <xdr:cNvSpPr/>
          </xdr:nvSpPr>
          <xdr:spPr>
            <a:xfrm>
              <a:off x="2979420" y="1485900"/>
              <a:ext cx="156972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CF8F136-CD99-4025-8B42-E32C3961DFA7}" type="TxLink">
                <a:rPr lang="en-US" sz="1800" b="1" i="0" u="none" strike="noStrike">
                  <a:solidFill>
                    <a:srgbClr val="000000"/>
                  </a:solidFill>
                  <a:latin typeface="Calibri"/>
                  <a:ea typeface="Calibri"/>
                  <a:cs typeface="Calibri"/>
                </a:rPr>
                <a:pPr algn="l"/>
                <a:t>₦100,000,000</a:t>
              </a:fld>
              <a:endParaRPr lang="en-US" sz="1800" b="1"/>
            </a:p>
          </xdr:txBody>
        </xdr:sp>
      </xdr:grpSp>
    </xdr:grpSp>
    <xdr:clientData/>
  </xdr:twoCellAnchor>
  <xdr:twoCellAnchor>
    <xdr:from>
      <xdr:col>18</xdr:col>
      <xdr:colOff>357989</xdr:colOff>
      <xdr:row>5</xdr:row>
      <xdr:rowOff>179585</xdr:rowOff>
    </xdr:from>
    <xdr:to>
      <xdr:col>21</xdr:col>
      <xdr:colOff>559157</xdr:colOff>
      <xdr:row>11</xdr:row>
      <xdr:rowOff>157378</xdr:rowOff>
    </xdr:to>
    <xdr:grpSp>
      <xdr:nvGrpSpPr>
        <xdr:cNvPr id="18" name="Group 17">
          <a:extLst>
            <a:ext uri="{FF2B5EF4-FFF2-40B4-BE49-F238E27FC236}">
              <a16:creationId xmlns:a16="http://schemas.microsoft.com/office/drawing/2014/main" id="{602D440F-A318-84D4-368B-F2664250FD8C}"/>
            </a:ext>
          </a:extLst>
        </xdr:cNvPr>
        <xdr:cNvGrpSpPr/>
      </xdr:nvGrpSpPr>
      <xdr:grpSpPr>
        <a:xfrm>
          <a:off x="11298132" y="1086728"/>
          <a:ext cx="2024525" cy="1066364"/>
          <a:chOff x="2788920" y="1135380"/>
          <a:chExt cx="1927860" cy="1036320"/>
        </a:xfrm>
      </xdr:grpSpPr>
      <xdr:sp macro="" textlink="">
        <xdr:nvSpPr>
          <xdr:cNvPr id="19" name="Rectangle: Rounded Corners 18">
            <a:extLst>
              <a:ext uri="{FF2B5EF4-FFF2-40B4-BE49-F238E27FC236}">
                <a16:creationId xmlns:a16="http://schemas.microsoft.com/office/drawing/2014/main" id="{95AB072D-A619-2971-7E15-29FF84F0BD33}"/>
              </a:ext>
            </a:extLst>
          </xdr:cNvPr>
          <xdr:cNvSpPr/>
        </xdr:nvSpPr>
        <xdr:spPr>
          <a:xfrm>
            <a:off x="2788920" y="1135380"/>
            <a:ext cx="1927860" cy="1036320"/>
          </a:xfrm>
          <a:prstGeom prst="roundRect">
            <a:avLst/>
          </a:prstGeom>
          <a:solidFill>
            <a:sysClr val="window" lastClr="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097F1EC4-99FB-2E7E-A636-EB4802092C38}"/>
              </a:ext>
            </a:extLst>
          </xdr:cNvPr>
          <xdr:cNvGrpSpPr/>
        </xdr:nvGrpSpPr>
        <xdr:grpSpPr>
          <a:xfrm>
            <a:off x="2875335" y="1211580"/>
            <a:ext cx="1716590" cy="647700"/>
            <a:chOff x="2875335" y="1211580"/>
            <a:chExt cx="1716590" cy="647700"/>
          </a:xfrm>
        </xdr:grpSpPr>
        <xdr:sp macro="" textlink="">
          <xdr:nvSpPr>
            <xdr:cNvPr id="21" name="Rectangle: Rounded Corners 20">
              <a:extLst>
                <a:ext uri="{FF2B5EF4-FFF2-40B4-BE49-F238E27FC236}">
                  <a16:creationId xmlns:a16="http://schemas.microsoft.com/office/drawing/2014/main" id="{3E38E7BA-CF67-4C22-790E-BFE1EE8315B3}"/>
                </a:ext>
              </a:extLst>
            </xdr:cNvPr>
            <xdr:cNvSpPr/>
          </xdr:nvSpPr>
          <xdr:spPr>
            <a:xfrm>
              <a:off x="2875335" y="1211580"/>
              <a:ext cx="171659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PROJECTED</a:t>
              </a:r>
              <a:r>
                <a:rPr lang="en-US" sz="1100" b="1" baseline="0">
                  <a:solidFill>
                    <a:sysClr val="windowText" lastClr="000000"/>
                  </a:solidFill>
                </a:rPr>
                <a:t> FUNDING GAP</a:t>
              </a:r>
              <a:r>
                <a:rPr lang="en-US" sz="1100" b="1">
                  <a:solidFill>
                    <a:sysClr val="windowText" lastClr="000000"/>
                  </a:solidFill>
                </a:rPr>
                <a:t> </a:t>
              </a:r>
            </a:p>
          </xdr:txBody>
        </xdr:sp>
        <xdr:sp macro="" textlink="EDA!I26">
          <xdr:nvSpPr>
            <xdr:cNvPr id="22" name="Rectangle: Rounded Corners 21">
              <a:extLst>
                <a:ext uri="{FF2B5EF4-FFF2-40B4-BE49-F238E27FC236}">
                  <a16:creationId xmlns:a16="http://schemas.microsoft.com/office/drawing/2014/main" id="{FC7E8C10-1408-18DE-04B3-D5D80E430618}"/>
                </a:ext>
              </a:extLst>
            </xdr:cNvPr>
            <xdr:cNvSpPr/>
          </xdr:nvSpPr>
          <xdr:spPr>
            <a:xfrm>
              <a:off x="3061717" y="1447800"/>
              <a:ext cx="1424487"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580F6CA-3591-47DE-8733-20A436348E97}" type="TxLink">
                <a:rPr lang="en-US" sz="1800" b="1" i="0" u="none" strike="noStrike">
                  <a:solidFill>
                    <a:srgbClr val="000000"/>
                  </a:solidFill>
                  <a:latin typeface="Calibri"/>
                  <a:ea typeface="Calibri"/>
                  <a:cs typeface="Calibri"/>
                </a:rPr>
                <a:pPr algn="l"/>
                <a:t>₦20,000,000</a:t>
              </a:fld>
              <a:endParaRPr lang="en-US" sz="4800" b="1"/>
            </a:p>
          </xdr:txBody>
        </xdr:sp>
      </xdr:grpSp>
    </xdr:grpSp>
    <xdr:clientData/>
  </xdr:twoCellAnchor>
  <xdr:twoCellAnchor>
    <xdr:from>
      <xdr:col>8</xdr:col>
      <xdr:colOff>303711</xdr:colOff>
      <xdr:row>5</xdr:row>
      <xdr:rowOff>174729</xdr:rowOff>
    </xdr:from>
    <xdr:to>
      <xdr:col>11</xdr:col>
      <xdr:colOff>500742</xdr:colOff>
      <xdr:row>11</xdr:row>
      <xdr:rowOff>152399</xdr:rowOff>
    </xdr:to>
    <xdr:grpSp>
      <xdr:nvGrpSpPr>
        <xdr:cNvPr id="29" name="Group 28">
          <a:extLst>
            <a:ext uri="{FF2B5EF4-FFF2-40B4-BE49-F238E27FC236}">
              <a16:creationId xmlns:a16="http://schemas.microsoft.com/office/drawing/2014/main" id="{8F7D8C28-888E-1046-6C15-C2DBDBF1AA22}"/>
            </a:ext>
          </a:extLst>
        </xdr:cNvPr>
        <xdr:cNvGrpSpPr/>
      </xdr:nvGrpSpPr>
      <xdr:grpSpPr>
        <a:xfrm>
          <a:off x="5165997" y="1081872"/>
          <a:ext cx="2020388" cy="1066241"/>
          <a:chOff x="3634740" y="922020"/>
          <a:chExt cx="1927860" cy="1036320"/>
        </a:xfrm>
      </xdr:grpSpPr>
      <xdr:grpSp>
        <xdr:nvGrpSpPr>
          <xdr:cNvPr id="13" name="Group 12">
            <a:extLst>
              <a:ext uri="{FF2B5EF4-FFF2-40B4-BE49-F238E27FC236}">
                <a16:creationId xmlns:a16="http://schemas.microsoft.com/office/drawing/2014/main" id="{FC955A89-2D6E-45E4-8A76-16BEDD5F468D}"/>
              </a:ext>
            </a:extLst>
          </xdr:cNvPr>
          <xdr:cNvGrpSpPr/>
        </xdr:nvGrpSpPr>
        <xdr:grpSpPr>
          <a:xfrm>
            <a:off x="3634740" y="922020"/>
            <a:ext cx="1927860" cy="1036320"/>
            <a:chOff x="2773680" y="1127760"/>
            <a:chExt cx="1927860" cy="1036320"/>
          </a:xfrm>
        </xdr:grpSpPr>
        <xdr:sp macro="" textlink="">
          <xdr:nvSpPr>
            <xdr:cNvPr id="14" name="Rectangle: Rounded Corners 13">
              <a:extLst>
                <a:ext uri="{FF2B5EF4-FFF2-40B4-BE49-F238E27FC236}">
                  <a16:creationId xmlns:a16="http://schemas.microsoft.com/office/drawing/2014/main" id="{E46208B3-0D9E-7234-94FB-E7C0026BD498}"/>
                </a:ext>
              </a:extLst>
            </xdr:cNvPr>
            <xdr:cNvSpPr/>
          </xdr:nvSpPr>
          <xdr:spPr>
            <a:xfrm>
              <a:off x="2773680" y="1127760"/>
              <a:ext cx="1927860" cy="1036320"/>
            </a:xfrm>
            <a:prstGeom prst="roundRect">
              <a:avLst/>
            </a:prstGeom>
            <a:solidFill>
              <a:sysClr val="window" lastClr="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5" name="Group 14">
              <a:extLst>
                <a:ext uri="{FF2B5EF4-FFF2-40B4-BE49-F238E27FC236}">
                  <a16:creationId xmlns:a16="http://schemas.microsoft.com/office/drawing/2014/main" id="{3F08B062-EC27-6AB5-0F41-CE0EAC4B291D}"/>
                </a:ext>
              </a:extLst>
            </xdr:cNvPr>
            <xdr:cNvGrpSpPr/>
          </xdr:nvGrpSpPr>
          <xdr:grpSpPr>
            <a:xfrm>
              <a:off x="2887980" y="1211580"/>
              <a:ext cx="1729740" cy="662940"/>
              <a:chOff x="2887980" y="1211580"/>
              <a:chExt cx="1729740" cy="662940"/>
            </a:xfrm>
          </xdr:grpSpPr>
          <xdr:sp macro="" textlink="">
            <xdr:nvSpPr>
              <xdr:cNvPr id="16" name="Rectangle: Rounded Corners 15">
                <a:extLst>
                  <a:ext uri="{FF2B5EF4-FFF2-40B4-BE49-F238E27FC236}">
                    <a16:creationId xmlns:a16="http://schemas.microsoft.com/office/drawing/2014/main" id="{9AA004F5-8322-EAA9-0A4F-896CA37AD991}"/>
                  </a:ext>
                </a:extLst>
              </xdr:cNvPr>
              <xdr:cNvSpPr/>
            </xdr:nvSpPr>
            <xdr:spPr>
              <a:xfrm>
                <a:off x="2887980" y="1211580"/>
                <a:ext cx="172974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AMOUNT SPENT TO DATE</a:t>
                </a:r>
              </a:p>
            </xdr:txBody>
          </xdr:sp>
          <xdr:sp macro="" textlink="EDA!E25">
            <xdr:nvSpPr>
              <xdr:cNvPr id="17" name="Rectangle: Rounded Corners 16">
                <a:extLst>
                  <a:ext uri="{FF2B5EF4-FFF2-40B4-BE49-F238E27FC236}">
                    <a16:creationId xmlns:a16="http://schemas.microsoft.com/office/drawing/2014/main" id="{2058D620-3AA9-5768-C299-30053E91B24F}"/>
                  </a:ext>
                </a:extLst>
              </xdr:cNvPr>
              <xdr:cNvSpPr/>
            </xdr:nvSpPr>
            <xdr:spPr>
              <a:xfrm>
                <a:off x="3002280" y="1463040"/>
                <a:ext cx="156972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FFA2255-81B2-4D15-80BD-E5380F1528A2}" type="TxLink">
                  <a:rPr lang="en-US" sz="1800" b="1" i="0" u="none" strike="noStrike">
                    <a:solidFill>
                      <a:srgbClr val="000000"/>
                    </a:solidFill>
                    <a:latin typeface="Calibri"/>
                    <a:ea typeface="Calibri"/>
                    <a:cs typeface="Calibri"/>
                  </a:rPr>
                  <a:pPr algn="l"/>
                  <a:t>₦70,000,000</a:t>
                </a:fld>
                <a:endParaRPr lang="en-US" sz="3200" b="1"/>
              </a:p>
            </xdr:txBody>
          </xdr:sp>
        </xdr:grpSp>
      </xdr:grpSp>
      <xdr:sp macro="" textlink="">
        <xdr:nvSpPr>
          <xdr:cNvPr id="28" name="Rectangle: Rounded Corners 27">
            <a:extLst>
              <a:ext uri="{FF2B5EF4-FFF2-40B4-BE49-F238E27FC236}">
                <a16:creationId xmlns:a16="http://schemas.microsoft.com/office/drawing/2014/main" id="{41AC0916-12B9-3B6D-835F-490794240DB1}"/>
              </a:ext>
            </a:extLst>
          </xdr:cNvPr>
          <xdr:cNvSpPr/>
        </xdr:nvSpPr>
        <xdr:spPr>
          <a:xfrm>
            <a:off x="4030980" y="1615440"/>
            <a:ext cx="11201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70% of</a:t>
            </a:r>
            <a:r>
              <a:rPr lang="en-US" sz="1100" baseline="0">
                <a:solidFill>
                  <a:sysClr val="windowText" lastClr="000000"/>
                </a:solidFill>
              </a:rPr>
              <a:t> Budget</a:t>
            </a:r>
            <a:endParaRPr lang="en-US" sz="1100">
              <a:solidFill>
                <a:sysClr val="windowText" lastClr="000000"/>
              </a:solidFill>
            </a:endParaRPr>
          </a:p>
        </xdr:txBody>
      </xdr:sp>
    </xdr:grpSp>
    <xdr:clientData/>
  </xdr:twoCellAnchor>
  <xdr:twoCellAnchor>
    <xdr:from>
      <xdr:col>13</xdr:col>
      <xdr:colOff>344577</xdr:colOff>
      <xdr:row>6</xdr:row>
      <xdr:rowOff>1060</xdr:rowOff>
    </xdr:from>
    <xdr:to>
      <xdr:col>16</xdr:col>
      <xdr:colOff>545745</xdr:colOff>
      <xdr:row>11</xdr:row>
      <xdr:rowOff>163910</xdr:rowOff>
    </xdr:to>
    <xdr:grpSp>
      <xdr:nvGrpSpPr>
        <xdr:cNvPr id="31" name="Group 30">
          <a:extLst>
            <a:ext uri="{FF2B5EF4-FFF2-40B4-BE49-F238E27FC236}">
              <a16:creationId xmlns:a16="http://schemas.microsoft.com/office/drawing/2014/main" id="{2BD50075-194A-8936-1C55-6FECDBE07842}"/>
            </a:ext>
          </a:extLst>
        </xdr:cNvPr>
        <xdr:cNvGrpSpPr/>
      </xdr:nvGrpSpPr>
      <xdr:grpSpPr>
        <a:xfrm>
          <a:off x="8245791" y="1089631"/>
          <a:ext cx="2024525" cy="1069993"/>
          <a:chOff x="6720840" y="1371600"/>
          <a:chExt cx="1927860" cy="1036320"/>
        </a:xfrm>
      </xdr:grpSpPr>
      <xdr:grpSp>
        <xdr:nvGrpSpPr>
          <xdr:cNvPr id="23" name="Group 22">
            <a:extLst>
              <a:ext uri="{FF2B5EF4-FFF2-40B4-BE49-F238E27FC236}">
                <a16:creationId xmlns:a16="http://schemas.microsoft.com/office/drawing/2014/main" id="{AEF886CA-7755-F169-5B36-97F08A775A31}"/>
              </a:ext>
            </a:extLst>
          </xdr:cNvPr>
          <xdr:cNvGrpSpPr/>
        </xdr:nvGrpSpPr>
        <xdr:grpSpPr>
          <a:xfrm>
            <a:off x="6720840" y="1371600"/>
            <a:ext cx="1927860" cy="1036320"/>
            <a:chOff x="2788920" y="1135380"/>
            <a:chExt cx="1927860" cy="1036320"/>
          </a:xfrm>
        </xdr:grpSpPr>
        <xdr:sp macro="" textlink="">
          <xdr:nvSpPr>
            <xdr:cNvPr id="24" name="Rectangle: Rounded Corners 23">
              <a:extLst>
                <a:ext uri="{FF2B5EF4-FFF2-40B4-BE49-F238E27FC236}">
                  <a16:creationId xmlns:a16="http://schemas.microsoft.com/office/drawing/2014/main" id="{3D3FB60A-4298-EDEF-7059-9E818424BAD9}"/>
                </a:ext>
              </a:extLst>
            </xdr:cNvPr>
            <xdr:cNvSpPr/>
          </xdr:nvSpPr>
          <xdr:spPr>
            <a:xfrm>
              <a:off x="2788920" y="1135380"/>
              <a:ext cx="1927860" cy="1036320"/>
            </a:xfrm>
            <a:prstGeom prst="roundRect">
              <a:avLst/>
            </a:prstGeom>
            <a:solidFill>
              <a:sysClr val="window" lastClr="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78DFA46A-A21E-6F98-36C4-2BE9F2F507F3}"/>
                </a:ext>
              </a:extLst>
            </xdr:cNvPr>
            <xdr:cNvGrpSpPr/>
          </xdr:nvGrpSpPr>
          <xdr:grpSpPr>
            <a:xfrm>
              <a:off x="3032760" y="1196340"/>
              <a:ext cx="1440180" cy="632460"/>
              <a:chOff x="3032760" y="1196340"/>
              <a:chExt cx="1440180" cy="632460"/>
            </a:xfrm>
          </xdr:grpSpPr>
          <xdr:sp macro="" textlink="">
            <xdr:nvSpPr>
              <xdr:cNvPr id="26" name="Rectangle: Rounded Corners 25">
                <a:extLst>
                  <a:ext uri="{FF2B5EF4-FFF2-40B4-BE49-F238E27FC236}">
                    <a16:creationId xmlns:a16="http://schemas.microsoft.com/office/drawing/2014/main" id="{FA77F935-3051-D0A6-FD5B-B23415FBC8D0}"/>
                  </a:ext>
                </a:extLst>
              </xdr:cNvPr>
              <xdr:cNvSpPr/>
            </xdr:nvSpPr>
            <xdr:spPr>
              <a:xfrm>
                <a:off x="3040380" y="1196340"/>
                <a:ext cx="143256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REMAINING BUDGET</a:t>
                </a:r>
              </a:p>
            </xdr:txBody>
          </xdr:sp>
          <xdr:sp macro="" textlink="EDA!I23">
            <xdr:nvSpPr>
              <xdr:cNvPr id="27" name="Rectangle: Rounded Corners 26">
                <a:extLst>
                  <a:ext uri="{FF2B5EF4-FFF2-40B4-BE49-F238E27FC236}">
                    <a16:creationId xmlns:a16="http://schemas.microsoft.com/office/drawing/2014/main" id="{FC859C88-98F8-FA03-740D-BB632F603CFF}"/>
                  </a:ext>
                </a:extLst>
              </xdr:cNvPr>
              <xdr:cNvSpPr/>
            </xdr:nvSpPr>
            <xdr:spPr>
              <a:xfrm>
                <a:off x="3032760" y="1447800"/>
                <a:ext cx="1432560" cy="381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68A9FC8-5C5B-44E3-956F-D1B45D3DB411}" type="TxLink">
                  <a:rPr lang="en-US" sz="1800" b="1" i="0" u="none" strike="noStrike">
                    <a:solidFill>
                      <a:srgbClr val="000000"/>
                    </a:solidFill>
                    <a:latin typeface="Calibri"/>
                    <a:ea typeface="Calibri"/>
                    <a:cs typeface="Calibri"/>
                  </a:rPr>
                  <a:pPr algn="l"/>
                  <a:t>₦30,000,000</a:t>
                </a:fld>
                <a:endParaRPr lang="en-US" sz="4800" b="1"/>
              </a:p>
            </xdr:txBody>
          </xdr:sp>
        </xdr:grpSp>
      </xdr:grpSp>
      <xdr:sp macro="" textlink="">
        <xdr:nvSpPr>
          <xdr:cNvPr id="30" name="Rectangle: Rounded Corners 29">
            <a:extLst>
              <a:ext uri="{FF2B5EF4-FFF2-40B4-BE49-F238E27FC236}">
                <a16:creationId xmlns:a16="http://schemas.microsoft.com/office/drawing/2014/main" id="{6E99EA82-5B5E-B9B8-2AC2-F665C03025EF}"/>
              </a:ext>
            </a:extLst>
          </xdr:cNvPr>
          <xdr:cNvSpPr/>
        </xdr:nvSpPr>
        <xdr:spPr>
          <a:xfrm>
            <a:off x="7162800" y="2057400"/>
            <a:ext cx="1120140" cy="3048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30% of Budget</a:t>
            </a:r>
          </a:p>
        </xdr:txBody>
      </xdr:sp>
    </xdr:grpSp>
    <xdr:clientData/>
  </xdr:twoCellAnchor>
  <xdr:twoCellAnchor>
    <xdr:from>
      <xdr:col>23</xdr:col>
      <xdr:colOff>371880</xdr:colOff>
      <xdr:row>6</xdr:row>
      <xdr:rowOff>3325</xdr:rowOff>
    </xdr:from>
    <xdr:to>
      <xdr:col>26</xdr:col>
      <xdr:colOff>573048</xdr:colOff>
      <xdr:row>11</xdr:row>
      <xdr:rowOff>166175</xdr:rowOff>
    </xdr:to>
    <xdr:grpSp>
      <xdr:nvGrpSpPr>
        <xdr:cNvPr id="32" name="Group 31">
          <a:extLst>
            <a:ext uri="{FF2B5EF4-FFF2-40B4-BE49-F238E27FC236}">
              <a16:creationId xmlns:a16="http://schemas.microsoft.com/office/drawing/2014/main" id="{E03CD3A1-84FF-46FA-C53C-F13F09607656}"/>
            </a:ext>
          </a:extLst>
        </xdr:cNvPr>
        <xdr:cNvGrpSpPr/>
      </xdr:nvGrpSpPr>
      <xdr:grpSpPr>
        <a:xfrm>
          <a:off x="14350951" y="1091896"/>
          <a:ext cx="2024526" cy="1069993"/>
          <a:chOff x="2788920" y="1135380"/>
          <a:chExt cx="1927860" cy="1036320"/>
        </a:xfrm>
      </xdr:grpSpPr>
      <xdr:sp macro="" textlink="">
        <xdr:nvSpPr>
          <xdr:cNvPr id="33" name="Rectangle: Rounded Corners 32">
            <a:extLst>
              <a:ext uri="{FF2B5EF4-FFF2-40B4-BE49-F238E27FC236}">
                <a16:creationId xmlns:a16="http://schemas.microsoft.com/office/drawing/2014/main" id="{FC86255A-A8E9-C295-D9B9-7744CD348D58}"/>
              </a:ext>
            </a:extLst>
          </xdr:cNvPr>
          <xdr:cNvSpPr/>
        </xdr:nvSpPr>
        <xdr:spPr>
          <a:xfrm>
            <a:off x="2788920" y="1135380"/>
            <a:ext cx="1927860" cy="1036320"/>
          </a:xfrm>
          <a:prstGeom prst="roundRect">
            <a:avLst/>
          </a:prstGeom>
          <a:solidFill>
            <a:sysClr val="window" lastClr="FFFFFF"/>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4" name="Group 33">
            <a:extLst>
              <a:ext uri="{FF2B5EF4-FFF2-40B4-BE49-F238E27FC236}">
                <a16:creationId xmlns:a16="http://schemas.microsoft.com/office/drawing/2014/main" id="{039B85BD-8B04-B6F3-A940-164676260298}"/>
              </a:ext>
            </a:extLst>
          </xdr:cNvPr>
          <xdr:cNvGrpSpPr/>
        </xdr:nvGrpSpPr>
        <xdr:grpSpPr>
          <a:xfrm>
            <a:off x="3154680" y="1211580"/>
            <a:ext cx="1287780" cy="868680"/>
            <a:chOff x="3154680" y="1211580"/>
            <a:chExt cx="1287780" cy="868680"/>
          </a:xfrm>
        </xdr:grpSpPr>
        <xdr:sp macro="" textlink="">
          <xdr:nvSpPr>
            <xdr:cNvPr id="35" name="Rectangle: Rounded Corners 34">
              <a:extLst>
                <a:ext uri="{FF2B5EF4-FFF2-40B4-BE49-F238E27FC236}">
                  <a16:creationId xmlns:a16="http://schemas.microsoft.com/office/drawing/2014/main" id="{47231BDA-544B-2138-3C96-078899B3E2B3}"/>
                </a:ext>
              </a:extLst>
            </xdr:cNvPr>
            <xdr:cNvSpPr/>
          </xdr:nvSpPr>
          <xdr:spPr>
            <a:xfrm>
              <a:off x="3154680" y="1211580"/>
              <a:ext cx="120396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ysClr val="windowText" lastClr="000000"/>
                  </a:solidFill>
                </a:rPr>
                <a:t>PROJECT STATUS</a:t>
              </a:r>
              <a:endParaRPr lang="en-US" sz="1100" b="1">
                <a:solidFill>
                  <a:sysClr val="windowText" lastClr="000000"/>
                </a:solidFill>
              </a:endParaRPr>
            </a:p>
          </xdr:txBody>
        </xdr:sp>
        <xdr:sp macro="" textlink="">
          <xdr:nvSpPr>
            <xdr:cNvPr id="36" name="Rectangle: Rounded Corners 35">
              <a:extLst>
                <a:ext uri="{FF2B5EF4-FFF2-40B4-BE49-F238E27FC236}">
                  <a16:creationId xmlns:a16="http://schemas.microsoft.com/office/drawing/2014/main" id="{21EE5E64-30BF-FCCC-04A1-A6BEB23C3B12}"/>
                </a:ext>
              </a:extLst>
            </xdr:cNvPr>
            <xdr:cNvSpPr/>
          </xdr:nvSpPr>
          <xdr:spPr>
            <a:xfrm>
              <a:off x="3307080" y="1447800"/>
              <a:ext cx="89916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rgbClr val="FF0000"/>
                  </a:solidFill>
                  <a:latin typeface="Calibri"/>
                  <a:ea typeface="Calibri"/>
                  <a:cs typeface="Calibri"/>
                </a:rPr>
                <a:t>At Risk</a:t>
              </a:r>
            </a:p>
          </xdr:txBody>
        </xdr:sp>
        <xdr:sp macro="" textlink="">
          <xdr:nvSpPr>
            <xdr:cNvPr id="37" name="Rectangle: Rounded Corners 36">
              <a:extLst>
                <a:ext uri="{FF2B5EF4-FFF2-40B4-BE49-F238E27FC236}">
                  <a16:creationId xmlns:a16="http://schemas.microsoft.com/office/drawing/2014/main" id="{C0D89E7D-0911-2B07-94E5-9CBD351A0424}"/>
                </a:ext>
              </a:extLst>
            </xdr:cNvPr>
            <xdr:cNvSpPr/>
          </xdr:nvSpPr>
          <xdr:spPr>
            <a:xfrm>
              <a:off x="3208020" y="1790700"/>
              <a:ext cx="12344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ysClr val="windowText" lastClr="000000"/>
                  </a:solidFill>
                  <a:latin typeface="Calibri"/>
                  <a:ea typeface="Calibri"/>
                  <a:cs typeface="Calibri"/>
                </a:rPr>
                <a:t>Budget</a:t>
              </a:r>
              <a:r>
                <a:rPr lang="en-US" sz="1100" b="0" i="0" u="none" strike="noStrike" baseline="0">
                  <a:solidFill>
                    <a:sysClr val="windowText" lastClr="000000"/>
                  </a:solidFill>
                  <a:latin typeface="Calibri"/>
                  <a:ea typeface="Calibri"/>
                  <a:cs typeface="Calibri"/>
                </a:rPr>
                <a:t> Overrun</a:t>
              </a:r>
              <a:endParaRPr lang="en-US" sz="1100" b="0" i="0" u="none" strike="noStrike">
                <a:solidFill>
                  <a:sysClr val="windowText" lastClr="000000"/>
                </a:solidFill>
                <a:latin typeface="Calibri"/>
                <a:ea typeface="Calibri"/>
                <a:cs typeface="Calibri"/>
              </a:endParaRPr>
            </a:p>
          </xdr:txBody>
        </xdr:sp>
      </xdr:grpSp>
    </xdr:grpSp>
    <xdr:clientData/>
  </xdr:twoCellAnchor>
  <xdr:twoCellAnchor>
    <xdr:from>
      <xdr:col>3</xdr:col>
      <xdr:colOff>341397</xdr:colOff>
      <xdr:row>12</xdr:row>
      <xdr:rowOff>149222</xdr:rowOff>
    </xdr:from>
    <xdr:to>
      <xdr:col>11</xdr:col>
      <xdr:colOff>36597</xdr:colOff>
      <xdr:row>26</xdr:row>
      <xdr:rowOff>164462</xdr:rowOff>
    </xdr:to>
    <xdr:graphicFrame macro="">
      <xdr:nvGraphicFramePr>
        <xdr:cNvPr id="38" name="Chart 37">
          <a:extLst>
            <a:ext uri="{FF2B5EF4-FFF2-40B4-BE49-F238E27FC236}">
              <a16:creationId xmlns:a16="http://schemas.microsoft.com/office/drawing/2014/main" id="{73A3EC47-7533-49A6-8C8D-7FBB3FB8D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291856</xdr:colOff>
      <xdr:row>12</xdr:row>
      <xdr:rowOff>166227</xdr:rowOff>
    </xdr:from>
    <xdr:to>
      <xdr:col>19</xdr:col>
      <xdr:colOff>240369</xdr:colOff>
      <xdr:row>26</xdr:row>
      <xdr:rowOff>182705</xdr:rowOff>
    </xdr:to>
    <xdr:graphicFrame macro="">
      <xdr:nvGraphicFramePr>
        <xdr:cNvPr id="39" name="Chart 38">
          <a:extLst>
            <a:ext uri="{FF2B5EF4-FFF2-40B4-BE49-F238E27FC236}">
              <a16:creationId xmlns:a16="http://schemas.microsoft.com/office/drawing/2014/main" id="{929732B2-9D9C-4275-B292-146EA83EE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456613</xdr:colOff>
      <xdr:row>13</xdr:row>
      <xdr:rowOff>1762</xdr:rowOff>
    </xdr:from>
    <xdr:to>
      <xdr:col>27</xdr:col>
      <xdr:colOff>151813</xdr:colOff>
      <xdr:row>27</xdr:row>
      <xdr:rowOff>17002</xdr:rowOff>
    </xdr:to>
    <xdr:graphicFrame macro="">
      <xdr:nvGraphicFramePr>
        <xdr:cNvPr id="41" name="Chart 40">
          <a:extLst>
            <a:ext uri="{FF2B5EF4-FFF2-40B4-BE49-F238E27FC236}">
              <a16:creationId xmlns:a16="http://schemas.microsoft.com/office/drawing/2014/main" id="{E7CC33FE-B8D1-485F-809E-EDC680455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327454</xdr:colOff>
      <xdr:row>28</xdr:row>
      <xdr:rowOff>6178</xdr:rowOff>
    </xdr:from>
    <xdr:to>
      <xdr:col>11</xdr:col>
      <xdr:colOff>22654</xdr:colOff>
      <xdr:row>42</xdr:row>
      <xdr:rowOff>21418</xdr:rowOff>
    </xdr:to>
    <xdr:graphicFrame macro="">
      <xdr:nvGraphicFramePr>
        <xdr:cNvPr id="42" name="Chart 41">
          <a:extLst>
            <a:ext uri="{FF2B5EF4-FFF2-40B4-BE49-F238E27FC236}">
              <a16:creationId xmlns:a16="http://schemas.microsoft.com/office/drawing/2014/main" id="{68449338-CAE9-465D-9E7B-74C48D46B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283029</xdr:colOff>
      <xdr:row>28</xdr:row>
      <xdr:rowOff>43542</xdr:rowOff>
    </xdr:from>
    <xdr:to>
      <xdr:col>19</xdr:col>
      <xdr:colOff>234261</xdr:colOff>
      <xdr:row>42</xdr:row>
      <xdr:rowOff>58782</xdr:rowOff>
    </xdr:to>
    <xdr:graphicFrame macro="">
      <xdr:nvGraphicFramePr>
        <xdr:cNvPr id="43" name="Chart 42">
          <a:extLst>
            <a:ext uri="{FF2B5EF4-FFF2-40B4-BE49-F238E27FC236}">
              <a16:creationId xmlns:a16="http://schemas.microsoft.com/office/drawing/2014/main" id="{067F4FA5-A217-4DDE-8327-CC62B3559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478972</xdr:colOff>
      <xdr:row>28</xdr:row>
      <xdr:rowOff>43543</xdr:rowOff>
    </xdr:from>
    <xdr:to>
      <xdr:col>27</xdr:col>
      <xdr:colOff>174172</xdr:colOff>
      <xdr:row>42</xdr:row>
      <xdr:rowOff>58783</xdr:rowOff>
    </xdr:to>
    <xdr:graphicFrame macro="">
      <xdr:nvGraphicFramePr>
        <xdr:cNvPr id="44" name="Chart 43">
          <a:extLst>
            <a:ext uri="{FF2B5EF4-FFF2-40B4-BE49-F238E27FC236}">
              <a16:creationId xmlns:a16="http://schemas.microsoft.com/office/drawing/2014/main" id="{4795088B-47CF-4510-83F0-E7A1113B6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174172</xdr:colOff>
      <xdr:row>6</xdr:row>
      <xdr:rowOff>97970</xdr:rowOff>
    </xdr:from>
    <xdr:to>
      <xdr:col>3</xdr:col>
      <xdr:colOff>174172</xdr:colOff>
      <xdr:row>19</xdr:row>
      <xdr:rowOff>159202</xdr:rowOff>
    </xdr:to>
    <mc:AlternateContent xmlns:mc="http://schemas.openxmlformats.org/markup-compatibility/2006" xmlns:a14="http://schemas.microsoft.com/office/drawing/2010/main">
      <mc:Choice Requires="a14">
        <xdr:graphicFrame macro="">
          <xdr:nvGraphicFramePr>
            <xdr:cNvPr id="46" name="Project Phase">
              <a:extLst>
                <a:ext uri="{FF2B5EF4-FFF2-40B4-BE49-F238E27FC236}">
                  <a16:creationId xmlns:a16="http://schemas.microsoft.com/office/drawing/2014/main" id="{CA5A62B8-6E97-4ADD-806B-A9EB941536AF}"/>
                </a:ext>
              </a:extLst>
            </xdr:cNvPr>
            <xdr:cNvGraphicFramePr/>
          </xdr:nvGraphicFramePr>
          <xdr:xfrm>
            <a:off x="0" y="0"/>
            <a:ext cx="0" cy="0"/>
          </xdr:xfrm>
          <a:graphic>
            <a:graphicData uri="http://schemas.microsoft.com/office/drawing/2010/slicer">
              <sle:slicer xmlns:sle="http://schemas.microsoft.com/office/drawing/2010/slicer" name="Project Phase"/>
            </a:graphicData>
          </a:graphic>
        </xdr:graphicFrame>
      </mc:Choice>
      <mc:Fallback xmlns="">
        <xdr:sp macro="" textlink="">
          <xdr:nvSpPr>
            <xdr:cNvPr id="0" name=""/>
            <xdr:cNvSpPr>
              <a:spLocks noTextEdit="1"/>
            </xdr:cNvSpPr>
          </xdr:nvSpPr>
          <xdr:spPr>
            <a:xfrm>
              <a:off x="174172" y="1186541"/>
              <a:ext cx="1823357" cy="24198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153761</xdr:colOff>
      <xdr:row>20</xdr:row>
      <xdr:rowOff>98992</xdr:rowOff>
    </xdr:from>
    <xdr:to>
      <xdr:col>3</xdr:col>
      <xdr:colOff>160905</xdr:colOff>
      <xdr:row>30</xdr:row>
      <xdr:rowOff>11907</xdr:rowOff>
    </xdr:to>
    <mc:AlternateContent xmlns:mc="http://schemas.openxmlformats.org/markup-compatibility/2006" xmlns:a14="http://schemas.microsoft.com/office/drawing/2010/main">
      <mc:Choice Requires="a14">
        <xdr:graphicFrame macro="">
          <xdr:nvGraphicFramePr>
            <xdr:cNvPr id="47" name="Months">
              <a:extLst>
                <a:ext uri="{FF2B5EF4-FFF2-40B4-BE49-F238E27FC236}">
                  <a16:creationId xmlns:a16="http://schemas.microsoft.com/office/drawing/2014/main" id="{9DF1D1A7-B038-4E35-A490-EF1F59B2236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53761" y="3727563"/>
              <a:ext cx="1830501" cy="1727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129949</xdr:colOff>
      <xdr:row>30</xdr:row>
      <xdr:rowOff>146616</xdr:rowOff>
    </xdr:from>
    <xdr:to>
      <xdr:col>3</xdr:col>
      <xdr:colOff>137093</xdr:colOff>
      <xdr:row>38</xdr:row>
      <xdr:rowOff>130969</xdr:rowOff>
    </xdr:to>
    <mc:AlternateContent xmlns:mc="http://schemas.openxmlformats.org/markup-compatibility/2006" xmlns:a14="http://schemas.microsoft.com/office/drawing/2010/main">
      <mc:Choice Requires="a14">
        <xdr:graphicFrame macro="">
          <xdr:nvGraphicFramePr>
            <xdr:cNvPr id="48" name="Supplier Name">
              <a:extLst>
                <a:ext uri="{FF2B5EF4-FFF2-40B4-BE49-F238E27FC236}">
                  <a16:creationId xmlns:a16="http://schemas.microsoft.com/office/drawing/2014/main" id="{657BBE05-2D87-44A7-A1AE-9A6770C08CEC}"/>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mlns="">
        <xdr:sp macro="" textlink="">
          <xdr:nvSpPr>
            <xdr:cNvPr id="0" name=""/>
            <xdr:cNvSpPr>
              <a:spLocks noTextEdit="1"/>
            </xdr:cNvSpPr>
          </xdr:nvSpPr>
          <xdr:spPr>
            <a:xfrm>
              <a:off x="129949" y="5589473"/>
              <a:ext cx="1830501" cy="1435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327660</xdr:colOff>
      <xdr:row>1</xdr:row>
      <xdr:rowOff>30480</xdr:rowOff>
    </xdr:from>
    <xdr:to>
      <xdr:col>17</xdr:col>
      <xdr:colOff>137160</xdr:colOff>
      <xdr:row>40</xdr:row>
      <xdr:rowOff>152400</xdr:rowOff>
    </xdr:to>
    <xdr:sp macro="" textlink="">
      <xdr:nvSpPr>
        <xdr:cNvPr id="2" name="Rectangle 1">
          <a:extLst>
            <a:ext uri="{FF2B5EF4-FFF2-40B4-BE49-F238E27FC236}">
              <a16:creationId xmlns:a16="http://schemas.microsoft.com/office/drawing/2014/main" id="{2D8CDB65-FA06-E016-E04A-3C7C3853A419}"/>
            </a:ext>
          </a:extLst>
        </xdr:cNvPr>
        <xdr:cNvSpPr/>
      </xdr:nvSpPr>
      <xdr:spPr>
        <a:xfrm>
          <a:off x="937260" y="213360"/>
          <a:ext cx="9563100" cy="72542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latin typeface="+mj-lt"/>
            </a:rPr>
            <a:t>Key Insights</a:t>
          </a:r>
        </a:p>
        <a:p>
          <a:pPr algn="l"/>
          <a:r>
            <a:rPr lang="en-US" sz="1200">
              <a:solidFill>
                <a:sysClr val="windowText" lastClr="000000"/>
              </a:solidFill>
              <a:latin typeface="+mj-lt"/>
            </a:rPr>
            <a:t>1. Block work consumed the highest amount of project funds, with actual spending exceeding its planned allocation. This indicates that the block work stage is the major driver of the project's early budget depletion.</a:t>
          </a:r>
        </a:p>
        <a:p>
          <a:pPr algn="l"/>
          <a:r>
            <a:rPr lang="en-US" sz="1200" b="1">
              <a:solidFill>
                <a:sysClr val="windowText" lastClr="000000"/>
              </a:solidFill>
              <a:latin typeface="+mj-lt"/>
            </a:rPr>
            <a:t>Recommendation:</a:t>
          </a:r>
        </a:p>
        <a:p>
          <a:pPr algn="l"/>
          <a:r>
            <a:rPr lang="en-US" sz="1200">
              <a:solidFill>
                <a:sysClr val="windowText" lastClr="000000"/>
              </a:solidFill>
              <a:latin typeface="+mj-lt"/>
            </a:rPr>
            <a:t>Review block work expenses, especially material quantities, supplier pricing, and labour requirements.</a:t>
          </a:r>
        </a:p>
        <a:p>
          <a:pPr algn="l"/>
          <a:r>
            <a:rPr lang="en-US" sz="1200">
              <a:solidFill>
                <a:sysClr val="windowText" lastClr="000000"/>
              </a:solidFill>
              <a:latin typeface="+mj-lt"/>
            </a:rPr>
            <a:t>Implement stricter cost monitoring before approving future construction stages.</a:t>
          </a:r>
        </a:p>
        <a:p>
          <a:pPr algn="l"/>
          <a:endParaRPr lang="en-US" sz="1200">
            <a:solidFill>
              <a:sysClr val="windowText" lastClr="000000"/>
            </a:solidFill>
            <a:latin typeface="+mj-lt"/>
          </a:endParaRPr>
        </a:p>
        <a:p>
          <a:pPr algn="l"/>
          <a:r>
            <a:rPr lang="en-US" sz="1200">
              <a:solidFill>
                <a:sysClr val="windowText" lastClr="000000"/>
              </a:solidFill>
              <a:latin typeface="+mj-lt"/>
            </a:rPr>
            <a:t>2. Materials represent the largest portion of total project expenditure, making them the primary area requiring cost control. High material consumption contributed significantly to the rapid reduction of the available budget.</a:t>
          </a:r>
        </a:p>
        <a:p>
          <a:pPr algn="l"/>
          <a:r>
            <a:rPr lang="en-US" sz="1200" b="1">
              <a:solidFill>
                <a:sysClr val="windowText" lastClr="000000"/>
              </a:solidFill>
              <a:latin typeface="+mj-lt"/>
            </a:rPr>
            <a:t>Recommendation:</a:t>
          </a:r>
        </a:p>
        <a:p>
          <a:pPr algn="l"/>
          <a:r>
            <a:rPr lang="en-US" sz="1200">
              <a:solidFill>
                <a:sysClr val="windowText" lastClr="000000"/>
              </a:solidFill>
              <a:latin typeface="+mj-lt"/>
            </a:rPr>
            <a:t>Negotiate better prices with suppliers.</a:t>
          </a:r>
        </a:p>
        <a:p>
          <a:pPr algn="l"/>
          <a:r>
            <a:rPr lang="en-US" sz="1200">
              <a:solidFill>
                <a:sysClr val="windowText" lastClr="000000"/>
              </a:solidFill>
              <a:latin typeface="+mj-lt"/>
            </a:rPr>
            <a:t>Compare multiple suppliers before major purchases.</a:t>
          </a:r>
        </a:p>
        <a:p>
          <a:pPr algn="l"/>
          <a:r>
            <a:rPr lang="en-US" sz="1200">
              <a:solidFill>
                <a:sysClr val="windowText" lastClr="000000"/>
              </a:solidFill>
              <a:latin typeface="+mj-lt"/>
            </a:rPr>
            <a:t>Consider bulk purchasing agreements to reduce material costs.</a:t>
          </a:r>
        </a:p>
        <a:p>
          <a:pPr algn="l"/>
          <a:r>
            <a:rPr lang="en-US" sz="1200">
              <a:solidFill>
                <a:sysClr val="windowText" lastClr="000000"/>
              </a:solidFill>
              <a:latin typeface="+mj-lt"/>
            </a:rPr>
            <a:t>Track material usage against project requirements to reduce waste.</a:t>
          </a:r>
        </a:p>
        <a:p>
          <a:pPr algn="l"/>
          <a:endParaRPr lang="en-US" sz="1200">
            <a:solidFill>
              <a:sysClr val="windowText" lastClr="000000"/>
            </a:solidFill>
            <a:latin typeface="+mj-lt"/>
          </a:endParaRPr>
        </a:p>
        <a:p>
          <a:pPr algn="l"/>
          <a:r>
            <a:rPr lang="en-US" sz="1200">
              <a:solidFill>
                <a:sysClr val="windowText" lastClr="000000"/>
              </a:solidFill>
              <a:latin typeface="+mj-lt"/>
            </a:rPr>
            <a:t>3. The project has already spent ₦70M out of the ₦100M total budget while only reaching the block work stage, leaving ₦30M for the remaining construction phases.</a:t>
          </a:r>
        </a:p>
        <a:p>
          <a:pPr algn="l"/>
          <a:r>
            <a:rPr lang="en-US" sz="1200" b="1">
              <a:solidFill>
                <a:sysClr val="windowText" lastClr="000000"/>
              </a:solidFill>
              <a:latin typeface="+mj-lt"/>
            </a:rPr>
            <a:t>Recommendation:</a:t>
          </a:r>
        </a:p>
        <a:p>
          <a:pPr algn="l"/>
          <a:r>
            <a:rPr lang="en-US" sz="1200">
              <a:solidFill>
                <a:sysClr val="windowText" lastClr="000000"/>
              </a:solidFill>
              <a:latin typeface="+mj-lt"/>
            </a:rPr>
            <a:t>Introduce milestone-based budget reviews before moving to each construction phase.</a:t>
          </a:r>
        </a:p>
        <a:p>
          <a:pPr algn="l"/>
          <a:r>
            <a:rPr lang="en-US" sz="1200">
              <a:solidFill>
                <a:sysClr val="windowText" lastClr="000000"/>
              </a:solidFill>
              <a:latin typeface="+mj-lt"/>
            </a:rPr>
            <a:t>Require management approval for high-value expenses.</a:t>
          </a:r>
        </a:p>
        <a:p>
          <a:pPr algn="l"/>
          <a:r>
            <a:rPr lang="en-US" sz="1200">
              <a:solidFill>
                <a:sysClr val="windowText" lastClr="000000"/>
              </a:solidFill>
              <a:latin typeface="+mj-lt"/>
            </a:rPr>
            <a:t>Conduct regular cost-to-completion forecasts.</a:t>
          </a:r>
        </a:p>
        <a:p>
          <a:pPr algn="l"/>
          <a:endParaRPr lang="en-US" sz="1200">
            <a:solidFill>
              <a:sysClr val="windowText" lastClr="000000"/>
            </a:solidFill>
            <a:latin typeface="+mj-lt"/>
          </a:endParaRPr>
        </a:p>
        <a:p>
          <a:pPr algn="l"/>
          <a:r>
            <a:rPr lang="en-US" sz="1200">
              <a:solidFill>
                <a:sysClr val="windowText" lastClr="000000"/>
              </a:solidFill>
              <a:latin typeface="+mj-lt"/>
            </a:rPr>
            <a:t>4. The estimated cost of completing the remaining stages (roofing, finishing, painting, electrical installation, and plumbing) exceeds the available ₦30M balance, creating a projected funding gap.</a:t>
          </a:r>
        </a:p>
        <a:p>
          <a:pPr algn="l"/>
          <a:r>
            <a:rPr lang="en-US" sz="1200" b="1">
              <a:solidFill>
                <a:sysClr val="windowText" lastClr="000000"/>
              </a:solidFill>
              <a:latin typeface="+mj-lt"/>
            </a:rPr>
            <a:t>Recommendation:</a:t>
          </a:r>
        </a:p>
        <a:p>
          <a:pPr algn="l"/>
          <a:r>
            <a:rPr lang="en-US" sz="1200">
              <a:solidFill>
                <a:sysClr val="windowText" lastClr="000000"/>
              </a:solidFill>
              <a:latin typeface="+mj-lt"/>
            </a:rPr>
            <a:t>Secure additional funding before continuing construction.</a:t>
          </a:r>
        </a:p>
        <a:p>
          <a:pPr algn="l"/>
          <a:r>
            <a:rPr lang="en-US" sz="1200">
              <a:solidFill>
                <a:sysClr val="windowText" lastClr="000000"/>
              </a:solidFill>
              <a:latin typeface="+mj-lt"/>
            </a:rPr>
            <a:t>Prioritize essential remaining activities.</a:t>
          </a:r>
        </a:p>
        <a:p>
          <a:pPr algn="l"/>
          <a:r>
            <a:rPr lang="en-US" sz="1200">
              <a:solidFill>
                <a:sysClr val="windowText" lastClr="000000"/>
              </a:solidFill>
              <a:latin typeface="+mj-lt"/>
            </a:rPr>
            <a:t>Reassess the project scope and identify areas where costs can be reduced.</a:t>
          </a:r>
        </a:p>
        <a:p>
          <a:pPr algn="l"/>
          <a:endParaRPr lang="en-US" sz="1200">
            <a:solidFill>
              <a:sysClr val="windowText" lastClr="000000"/>
            </a:solidFill>
            <a:latin typeface="+mj-lt"/>
          </a:endParaRPr>
        </a:p>
        <a:p>
          <a:pPr algn="l"/>
          <a:r>
            <a:rPr lang="en-US" sz="1200">
              <a:solidFill>
                <a:sysClr val="windowText" lastClr="000000"/>
              </a:solidFill>
              <a:latin typeface="+mj-lt"/>
            </a:rPr>
            <a:t>5. Foundation and block work stages consumed a significant percentage of the total budget, suggesting that early project activities were more expensive than initially planned.</a:t>
          </a:r>
        </a:p>
        <a:p>
          <a:pPr algn="l"/>
          <a:r>
            <a:rPr lang="en-US" sz="1200" b="1">
              <a:solidFill>
                <a:sysClr val="windowText" lastClr="000000"/>
              </a:solidFill>
              <a:latin typeface="+mj-lt"/>
            </a:rPr>
            <a:t>Recommendation:</a:t>
          </a:r>
        </a:p>
        <a:p>
          <a:pPr algn="l"/>
          <a:r>
            <a:rPr lang="en-US" sz="1200">
              <a:solidFill>
                <a:sysClr val="windowText" lastClr="000000"/>
              </a:solidFill>
              <a:latin typeface="+mj-lt"/>
            </a:rPr>
            <a:t>Improve initial project cost estimation.</a:t>
          </a:r>
        </a:p>
        <a:p>
          <a:pPr algn="l"/>
          <a:r>
            <a:rPr lang="en-US" sz="1200">
              <a:solidFill>
                <a:sysClr val="windowText" lastClr="000000"/>
              </a:solidFill>
              <a:latin typeface="+mj-lt"/>
            </a:rPr>
            <a:t>Perform detailed feasibility studies before construction begins.</a:t>
          </a:r>
        </a:p>
        <a:p>
          <a:pPr algn="l"/>
          <a:r>
            <a:rPr lang="en-US" sz="1200">
              <a:solidFill>
                <a:sysClr val="windowText" lastClr="000000"/>
              </a:solidFill>
              <a:latin typeface="+mj-lt"/>
            </a:rPr>
            <a:t>Use historical project data to create more accurate future budgets.</a:t>
          </a:r>
        </a:p>
        <a:p>
          <a:pPr algn="l"/>
          <a:r>
            <a:rPr lang="en-US" sz="1200">
              <a:solidFill>
                <a:sysClr val="windowText" lastClr="000000"/>
              </a:solidFill>
              <a:latin typeface="+mj-lt"/>
            </a:rPr>
            <a:t>Monitor project performance using cost variance tracking.</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73726848" backgroundQuery="1" createdVersion="8" refreshedVersion="8" minRefreshableVersion="3" recordCount="0" supportSubquery="1" supportAdvancedDrill="1" xr:uid="{92EDACDC-3584-4390-A6BB-AFEE2D091009}">
  <cacheSource type="external" connectionId="1"/>
  <cacheFields count="3">
    <cacheField name="[Table1].[Material Purchased].[Material Purchased]" caption="Material Purchased" numFmtId="0" hierarchy="3" level="1">
      <sharedItems count="8">
        <s v="Blocks"/>
        <s v="Cement"/>
        <s v="Electrical Cables"/>
        <s v="Gravel"/>
        <s v="Paint"/>
        <s v="Pipes"/>
        <s v="Roof Sheets"/>
        <s v="Sand"/>
      </sharedItems>
    </cacheField>
    <cacheField name="[Measures].[Sum of Actual Cost (₦)]" caption="Sum of Actual Cost (₦)" numFmtId="0" hierarchy="20" level="32767"/>
    <cacheField name="[Table1].[Months].[Months]" caption="Months" numFmtId="0" hierarchy="17"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2" memberValueDatatype="130" unbalanced="0">
      <fieldsUsage count="2">
        <fieldUsage x="-1"/>
        <fieldUsage x="0"/>
      </fieldsUsage>
    </cacheHierarchy>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75925926" backgroundQuery="1" createdVersion="8" refreshedVersion="8" minRefreshableVersion="3" recordCount="0" supportSubquery="1" supportAdvancedDrill="1" xr:uid="{55F884CC-C3BB-4541-B513-6A9D4EC91049}">
  <cacheSource type="external" connectionId="1"/>
  <cacheFields count="4">
    <cacheField name="[Measures].[Sum of Actual Cost (₦)]" caption="Sum of Actual Cost (₦)" numFmtId="0" hierarchy="20" level="32767"/>
    <cacheField name="[Table1].[Supplier Name].[Supplier Name]" caption="Supplier Name" numFmtId="0" hierarchy="4" level="1">
      <sharedItems count="4">
        <s v="Alpha Construction Supply"/>
        <s v="BuildMart Ltd"/>
        <s v="Mega Builders Depot"/>
        <s v="Prime Materials Co."/>
      </sharedItems>
    </cacheField>
    <cacheField name="[Table1].[Months].[Months]" caption="Months" numFmtId="0" hierarchy="17" level="1">
      <sharedItems containsSemiMixedTypes="0" containsNonDate="0" containsString="0"/>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0" memberValueDatatype="130" unbalanced="0"/>
    <cacheHierarchy uniqueName="[Table1].[Supplier Name]" caption="Supplier Name" attribute="1" defaultMemberUniqueName="[Table1].[Supplier Name].[All]" allUniqueName="[Table1].[Supplier Name].[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77777781" backgroundQuery="1" createdVersion="8" refreshedVersion="8" minRefreshableVersion="3" recordCount="0" supportSubquery="1" supportAdvancedDrill="1" xr:uid="{452EE210-8895-4776-84DA-7744C0B17473}">
  <cacheSource type="external" connectionId="1"/>
  <cacheFields count="3">
    <cacheField name="[Measures].[Sum of Actual Cost (₦)]" caption="Sum of Actual Cost (₦)" numFmtId="0" hierarchy="20" level="32767"/>
    <cacheField name="[Table1].[Months].[Months]" caption="Months" numFmtId="0" hierarchy="17" level="1">
      <sharedItems count="5">
        <s v="Apr"/>
        <s v="Feb"/>
        <s v="Jan"/>
        <s v="Mar"/>
        <s v="May"/>
      </sharedItems>
    </cacheField>
    <cacheField name="Unsupported0" numFmtId="0" hierarchy="27" level="32767">
      <extLst>
        <ext xmlns:x14="http://schemas.microsoft.com/office/spreadsheetml/2009/9/main" uri="{63CAB8AC-B538-458d-9737-405883B0398D}">
          <x14:cacheField ignore="1"/>
        </ext>
      </extLst>
    </cacheField>
  </cacheFields>
  <cacheHierarchies count="28">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0"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79745368" backgroundQuery="1" createdVersion="8" refreshedVersion="8" minRefreshableVersion="3" recordCount="0" supportSubquery="1" supportAdvancedDrill="1" xr:uid="{F8C119CB-70B3-4BA8-94AF-A6BCAD885E39}">
  <cacheSource type="external" connectionId="1"/>
  <cacheFields count="6">
    <cacheField name="[Table1].[Activity Name].[Activity Name]" caption="Activity Name" numFmtId="0" hierarchy="2" level="1">
      <sharedItems count="8">
        <s v="Concrete foundation and reinforcement"/>
        <s v="Electrical wiring"/>
        <s v="Land clearing and preparation"/>
        <s v="Painting works"/>
        <s v="Pipe installation"/>
        <s v="Plastering and finishing works"/>
        <s v="Roof installation"/>
        <s v="Wall construction"/>
      </sharedItems>
    </cacheField>
    <cacheField name="[Measures].[Sum of Actual Cost (₦)]" caption="Sum of Actual Cost (₦)" numFmtId="0" hierarchy="20" level="32767"/>
    <cacheField name="[Table1].[Project Phase].[Project Phase]" caption="Project Phase" numFmtId="0" hierarchy="1" level="1">
      <sharedItems count="8">
        <s v="Block Work"/>
        <s v="Electrical Installation"/>
        <s v="Finishing"/>
        <s v="Foundation"/>
        <s v="Painting"/>
        <s v="Plumbing"/>
        <s v="Roofing"/>
        <s v="Site Preparation"/>
      </sharedItems>
    </cacheField>
    <cacheField name="[Measures].[Sum of Planned Budget (₦)]" caption="Sum of Planned Budget (₦)" numFmtId="0" hierarchy="21" level="32767"/>
    <cacheField name="[Measures].[Sum of Variance (₦)]" caption="Sum of Variance (₦)" numFmtId="0" hierarchy="26" level="32767"/>
    <cacheField name="[Table1].[Months].[Months]" caption="Months" numFmtId="0" hierarchy="17"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fieldsUsage count="2">
        <fieldUsage x="-1"/>
        <fieldUsage x="2"/>
      </fieldsUsage>
    </cacheHierarchy>
    <cacheHierarchy uniqueName="[Table1].[Activity Name]" caption="Activity Name" attribute="1" defaultMemberUniqueName="[Table1].[Activity Name].[All]" allUniqueName="[Table1].[Activity Name].[All]" dimensionUniqueName="[Table1]" displayFolder="" count="2" memberValueDatatype="130" unbalanced="0">
      <fieldsUsage count="2">
        <fieldUsage x="-1"/>
        <fieldUsage x="0"/>
      </fieldsUsage>
    </cacheHierarchy>
    <cacheHierarchy uniqueName="[Table1].[Material Purchased]" caption="Material Purchased" attribute="1" defaultMemberUniqueName="[Table1].[Material Purchased].[All]" allUniqueName="[Table1].[Material Purchased].[All]" dimensionUniqueName="[Table1]" displayFolder="" count="0"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5"/>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oneField="1" hidden="1">
      <fieldsUsage count="1">
        <fieldUsage x="4"/>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81944446" backgroundQuery="1" createdVersion="8" refreshedVersion="8" minRefreshableVersion="3" recordCount="0" supportSubquery="1" supportAdvancedDrill="1" xr:uid="{E8095B5A-AAE5-41F3-AA7D-BD56C1676053}">
  <cacheSource type="external" connectionId="1"/>
  <cacheFields count="3">
    <cacheField name="[Table1].[Project Phase].[Project Phase]" caption="Project Phase" numFmtId="0" hierarchy="1" level="1">
      <sharedItems count="8">
        <s v="Block Work"/>
        <s v="Electrical Installation"/>
        <s v="Finishing"/>
        <s v="Foundation"/>
        <s v="Painting"/>
        <s v="Plumbing"/>
        <s v="Roofing"/>
        <s v="Site Preparation"/>
      </sharedItems>
    </cacheField>
    <cacheField name="[Measures].[Sum of Labour Cost (₦)]" caption="Sum of Labour Cost (₦)" numFmtId="0" hierarchy="22" level="32767"/>
    <cacheField name="[Table1].[Months].[Months]" caption="Months" numFmtId="0" hierarchy="17"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fieldsUsage count="2">
        <fieldUsage x="-1"/>
        <fieldUsage x="0"/>
      </fieldsUsage>
    </cacheHierarchy>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0"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hidden="1">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75984259263" backgroundQuery="1" createdVersion="8" refreshedVersion="8" minRefreshableVersion="3" recordCount="0" supportSubquery="1" supportAdvancedDrill="1" xr:uid="{114CBF6A-33D8-48C4-9740-35020C20B56D}">
  <cacheSource type="external" connectionId="1"/>
  <cacheFields count="3">
    <cacheField name="[Table1].[Project Phase].[Project Phase]" caption="Project Phase" numFmtId="0" hierarchy="1" level="1">
      <sharedItems count="8">
        <s v="Block Work"/>
        <s v="Electrical Installation"/>
        <s v="Finishing"/>
        <s v="Foundation"/>
        <s v="Painting"/>
        <s v="Plumbing"/>
        <s v="Roofing"/>
        <s v="Site Preparation"/>
      </sharedItems>
    </cacheField>
    <cacheField name="[Measures].[Sum of Planned Budget (₦)]" caption="Sum of Planned Budget (₦)" numFmtId="0" hierarchy="21" level="32767"/>
    <cacheField name="[Table1].[Months].[Months]" caption="Months" numFmtId="0" hierarchy="17" level="1">
      <sharedItems containsSemiMixedTypes="0" containsNonDate="0" containsString="0"/>
    </cacheField>
  </cacheFields>
  <cacheHierarchies count="27">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fieldsUsage count="2">
        <fieldUsage x="-1"/>
        <fieldUsage x="0"/>
      </fieldsUsage>
    </cacheHierarchy>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0"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Months]" caption="Months" attribute="1" defaultMemberUniqueName="[Table1].[Months].[All]" allUniqueName="[Table1].[Months].[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hidden="1">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90557638889" backgroundQuery="1" createdVersion="8" refreshedVersion="8" minRefreshableVersion="3" recordCount="0" supportSubquery="1" supportAdvancedDrill="1" xr:uid="{11327723-3A3F-4080-9124-08285AFB4F57}">
  <cacheSource type="external" connectionId="1"/>
  <cacheFields count="2">
    <cacheField name="[Table1].[Activity Name].[Activity Name]" caption="Activity Name" numFmtId="0" hierarchy="2" level="1">
      <sharedItems count="8">
        <s v="Concrete foundation and reinforcement"/>
        <s v="Electrical wiring"/>
        <s v="Land clearing and preparation"/>
        <s v="Painting works"/>
        <s v="Pipe installation"/>
        <s v="Plastering and finishing works"/>
        <s v="Roof installation"/>
        <s v="Wall construction"/>
      </sharedItems>
    </cacheField>
    <cacheField name="[Measures].[Sum of Labour Cost (₦)]" caption="Sum of Labour Cost (₦)" numFmtId="0" hierarchy="22" level="32767"/>
  </cacheFields>
  <cacheHierarchies count="27">
    <cacheHierarchy uniqueName="[Table1].[Date]" caption="Date" attribute="1" time="1" defaultMemberUniqueName="[Table1].[Date].[All]" allUniqueName="[Table1].[Date].[All]" dimensionUniqueName="[Table1]" displayFolder="" count="2" memberValueDatatype="7" unbalanced="0"/>
    <cacheHierarchy uniqueName="[Table1].[Project Phase]" caption="Project Phase" attribute="1" defaultMemberUniqueName="[Table1].[Project Phase].[All]" allUniqueName="[Table1].[Project Phase].[All]" dimensionUniqueName="[Table1]" displayFolder="" count="2" memberValueDatatype="130" unbalanced="0"/>
    <cacheHierarchy uniqueName="[Table1].[Activity Name]" caption="Activity Name" attribute="1" defaultMemberUniqueName="[Table1].[Activity Name].[All]" allUniqueName="[Table1].[Activity Name].[All]" dimensionUniqueName="[Table1]" displayFolder="" count="2" memberValueDatatype="130" unbalanced="0">
      <fieldsUsage count="2">
        <fieldUsage x="-1"/>
        <fieldUsage x="0"/>
      </fieldsUsage>
    </cacheHierarchy>
    <cacheHierarchy uniqueName="[Table1].[Material Purchased]" caption="Material Purchased" attribute="1" defaultMemberUniqueName="[Table1].[Material Purchased].[All]" allUniqueName="[Table1].[Material Purchased].[All]" dimensionUniqueName="[Table1]" displayFolder="" count="2"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Cost (₦)]" caption="Unit Cost (₦)" attribute="1" defaultMemberUniqueName="[Table1].[Unit Cost (₦)].[All]" allUniqueName="[Table1].[Unit Cost (₦)].[All]" dimensionUniqueName="[Table1]" displayFolder="" count="2" memberValueDatatype="20" unbalanced="0"/>
    <cacheHierarchy uniqueName="[Table1].[Material Cost]" caption="Material Cost" attribute="1" defaultMemberUniqueName="[Table1].[Material Cost].[All]" allUniqueName="[Table1].[Material Cost].[All]" dimensionUniqueName="[Table1]" displayFolder="" count="2" memberValueDatatype="20" unbalanced="0"/>
    <cacheHierarchy uniqueName="[Table1].[Total Cost (₦)]" caption="Total Cost (₦)" attribute="1" defaultMemberUniqueName="[Table1].[Total Cost (₦)].[All]" allUniqueName="[Table1].[Total Cost (₦)].[All]" dimensionUniqueName="[Table1]" displayFolder="" count="2" memberValueDatatype="20" unbalanced="0"/>
    <cacheHierarchy uniqueName="[Table1].[Labour Cost (₦)]" caption="Labour Cost (₦)" attribute="1" defaultMemberUniqueName="[Table1].[Labour Cost (₦)].[All]" allUniqueName="[Table1].[Labour Cost (₦)].[All]" dimensionUniqueName="[Table1]" displayFolder="" count="2" memberValueDatatype="20" unbalanced="0"/>
    <cacheHierarchy uniqueName="[Table1].[Equipment Cost (₦)]" caption="Equipment Cost (₦)" attribute="1" defaultMemberUniqueName="[Table1].[Equipment Cost (₦)].[All]" allUniqueName="[Table1].[Equipment Cost (₦)].[All]" dimensionUniqueName="[Table1]" displayFolder="" count="2" memberValueDatatype="20" unbalanced="0"/>
    <cacheHierarchy uniqueName="[Table1].[Transportation Cost (₦)]" caption="Transportation Cost (₦)" attribute="1" defaultMemberUniqueName="[Table1].[Transportation Cost (₦)].[All]" allUniqueName="[Table1].[Transportation Cost (₦)].[All]" dimensionUniqueName="[Table1]" displayFolder="" count="2" memberValueDatatype="20" unbalanced="0"/>
    <cacheHierarchy uniqueName="[Table1].[Other Expenses (₦)]" caption="Other Expenses (₦)" attribute="1" defaultMemberUniqueName="[Table1].[Other Expenses (₦)].[All]" allUniqueName="[Table1].[Other Expenses (₦)].[All]" dimensionUniqueName="[Table1]" displayFolder="" count="2" memberValueDatatype="20" unbalanced="0"/>
    <cacheHierarchy uniqueName="[Table1].[Planned Budget (₦)]" caption="Planned Budget (₦)" attribute="1" defaultMemberUniqueName="[Table1].[Planned Budget (₦)].[All]" allUniqueName="[Table1].[Planned Budget (₦)].[All]" dimensionUniqueName="[Table1]" displayFolder="" count="2" memberValueDatatype="20" unbalanced="0"/>
    <cacheHierarchy uniqueName="[Table1].[Actual Cost (₦)]" caption="Actual Cost (₦)" attribute="1" defaultMemberUniqueName="[Table1].[Actual Cost (₦)].[All]" allUniqueName="[Table1].[Actual Cost (₦)].[All]" dimensionUniqueName="[Table1]" displayFolder="" count="2" memberValueDatatype="20" unbalanced="0"/>
    <cacheHierarchy uniqueName="[Table1].[Variance (₦)]" caption="Variance (₦)" attribute="1" defaultMemberUniqueName="[Table1].[Variance (₦)].[All]" allUniqueName="[Table1].[Variance (₦)].[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Months]" caption="Months" attribute="1" defaultMemberUniqueName="[Table1].[Months].[All]" allUniqueName="[Table1].[Month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hidden="1">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lwell Dediribe" refreshedDate="46235.856574652775" backgroundQuery="1" createdVersion="3" refreshedVersion="8" minRefreshableVersion="3" recordCount="0" supportSubquery="1" supportAdvancedDrill="1" xr:uid="{6A35E03D-060A-4D85-8E34-8C6FFB6B2755}">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Date]" caption="Date" attribute="1" time="1" defaultMemberUniqueName="[Table1].[Date].[All]" allUniqueName="[Table1].[Date].[All]" dimensionUniqueName="[Table1]" displayFolder="" count="0" memberValueDatatype="7" unbalanced="0"/>
    <cacheHierarchy uniqueName="[Table1].[Project Phase]" caption="Project Phase" attribute="1" defaultMemberUniqueName="[Table1].[Project Phase].[All]" allUniqueName="[Table1].[Project Phase].[All]" dimensionUniqueName="[Table1]" displayFolder="" count="2" memberValueDatatype="130" unbalanced="0"/>
    <cacheHierarchy uniqueName="[Table1].[Activity Name]" caption="Activity Name" attribute="1" defaultMemberUniqueName="[Table1].[Activity Name].[All]" allUniqueName="[Table1].[Activity Name].[All]" dimensionUniqueName="[Table1]" displayFolder="" count="0" memberValueDatatype="130" unbalanced="0"/>
    <cacheHierarchy uniqueName="[Table1].[Material Purchased]" caption="Material Purchased" attribute="1" defaultMemberUniqueName="[Table1].[Material Purchased].[All]" allUniqueName="[Table1].[Material Purchased].[All]" dimensionUniqueName="[Table1]" displayFolder="" count="2" memberValueDatatype="130" unbalanced="0"/>
    <cacheHierarchy uniqueName="[Table1].[Supplier Name]" caption="Supplier Name" attribute="1" defaultMemberUniqueName="[Table1].[Supplier Name].[All]" allUniqueName="[Table1].[Supplier Name].[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Cost (₦)]" caption="Unit Cost (₦)" attribute="1" defaultMemberUniqueName="[Table1].[Unit Cost (₦)].[All]" allUniqueName="[Table1].[Unit Cost (₦)].[All]" dimensionUniqueName="[Table1]" displayFolder="" count="0" memberValueDatatype="20" unbalanced="0"/>
    <cacheHierarchy uniqueName="[Table1].[Material Cost]" caption="Material Cost" attribute="1" defaultMemberUniqueName="[Table1].[Material Cost].[All]" allUniqueName="[Table1].[Material Cost].[All]" dimensionUniqueName="[Table1]" displayFolder="" count="0" memberValueDatatype="20" unbalanced="0"/>
    <cacheHierarchy uniqueName="[Table1].[Total Cost (₦)]" caption="Total Cost (₦)" attribute="1" defaultMemberUniqueName="[Table1].[Total Cost (₦)].[All]" allUniqueName="[Table1].[Total Cost (₦)].[All]" dimensionUniqueName="[Table1]" displayFolder="" count="0" memberValueDatatype="20" unbalanced="0"/>
    <cacheHierarchy uniqueName="[Table1].[Labour Cost (₦)]" caption="Labour Cost (₦)" attribute="1" defaultMemberUniqueName="[Table1].[Labour Cost (₦)].[All]" allUniqueName="[Table1].[Labour Cost (₦)].[All]" dimensionUniqueName="[Table1]" displayFolder="" count="0" memberValueDatatype="20" unbalanced="0"/>
    <cacheHierarchy uniqueName="[Table1].[Equipment Cost (₦)]" caption="Equipment Cost (₦)" attribute="1" defaultMemberUniqueName="[Table1].[Equipment Cost (₦)].[All]" allUniqueName="[Table1].[Equipment Cost (₦)].[All]" dimensionUniqueName="[Table1]" displayFolder="" count="0" memberValueDatatype="20" unbalanced="0"/>
    <cacheHierarchy uniqueName="[Table1].[Transportation Cost (₦)]" caption="Transportation Cost (₦)" attribute="1" defaultMemberUniqueName="[Table1].[Transportation Cost (₦)].[All]" allUniqueName="[Table1].[Transportation Cost (₦)].[All]" dimensionUniqueName="[Table1]" displayFolder="" count="0" memberValueDatatype="20" unbalanced="0"/>
    <cacheHierarchy uniqueName="[Table1].[Other Expenses (₦)]" caption="Other Expenses (₦)" attribute="1" defaultMemberUniqueName="[Table1].[Other Expenses (₦)].[All]" allUniqueName="[Table1].[Other Expenses (₦)].[All]" dimensionUniqueName="[Table1]" displayFolder="" count="0" memberValueDatatype="20" unbalanced="0"/>
    <cacheHierarchy uniqueName="[Table1].[Planned Budget (₦)]" caption="Planned Budget (₦)" attribute="1" defaultMemberUniqueName="[Table1].[Planned Budget (₦)].[All]" allUniqueName="[Table1].[Planned Budget (₦)].[All]" dimensionUniqueName="[Table1]" displayFolder="" count="0" memberValueDatatype="20" unbalanced="0"/>
    <cacheHierarchy uniqueName="[Table1].[Actual Cost (₦)]" caption="Actual Cost (₦)" attribute="1" defaultMemberUniqueName="[Table1].[Actual Cost (₦)].[All]" allUniqueName="[Table1].[Actual Cost (₦)].[All]" dimensionUniqueName="[Table1]" displayFolder="" count="0" memberValueDatatype="20" unbalanced="0"/>
    <cacheHierarchy uniqueName="[Table1].[Variance (₦)]" caption="Variance (₦)" attribute="1" defaultMemberUniqueName="[Table1].[Variance (₦)].[All]" allUniqueName="[Table1].[Variance (₦)].[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cacheHierarchy uniqueName="[Table1].[Months]" caption="Months" attribute="1" defaultMemberUniqueName="[Table1].[Months].[All]" allUniqueName="[Table1].[Month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ctual Cost (₦)]" caption="Sum of Actual Cost (₦)" measure="1" displayFolder="" measureGroup="Table1" count="0" hidden="1">
      <extLst>
        <ext xmlns:x15="http://schemas.microsoft.com/office/spreadsheetml/2010/11/main" uri="{B97F6D7D-B522-45F9-BDA1-12C45D357490}">
          <x15:cacheHierarchy aggregatedColumn="14"/>
        </ext>
      </extLst>
    </cacheHierarchy>
    <cacheHierarchy uniqueName="[Measures].[Sum of Planned Budget (₦)]" caption="Sum of Planned Budget (₦)" measure="1" displayFolder="" measureGroup="Table1" count="0" hidden="1">
      <extLst>
        <ext xmlns:x15="http://schemas.microsoft.com/office/spreadsheetml/2010/11/main" uri="{B97F6D7D-B522-45F9-BDA1-12C45D357490}">
          <x15:cacheHierarchy aggregatedColumn="13"/>
        </ext>
      </extLst>
    </cacheHierarchy>
    <cacheHierarchy uniqueName="[Measures].[Sum of Labour Cost (₦)]" caption="Sum of Labour Cost (₦)" measure="1" displayFolder="" measureGroup="Table1" count="0" hidden="1">
      <extLst>
        <ext xmlns:x15="http://schemas.microsoft.com/office/spreadsheetml/2010/11/main" uri="{B97F6D7D-B522-45F9-BDA1-12C45D357490}">
          <x15:cacheHierarchy aggregatedColumn="9"/>
        </ext>
      </extLst>
    </cacheHierarchy>
    <cacheHierarchy uniqueName="[Measures].[Sum of Equipment Cost (₦)]" caption="Sum of Equipment Cost (₦)" measure="1" displayFolder="" measureGroup="Table1" count="0" hidden="1">
      <extLst>
        <ext xmlns:x15="http://schemas.microsoft.com/office/spreadsheetml/2010/11/main" uri="{B97F6D7D-B522-45F9-BDA1-12C45D357490}">
          <x15:cacheHierarchy aggregatedColumn="10"/>
        </ext>
      </extLst>
    </cacheHierarchy>
    <cacheHierarchy uniqueName="[Measures].[Sum of Transportation Cost (₦)]" caption="Sum of Transportation Cost (₦)" measure="1" displayFolder="" measureGroup="Table1" count="0" hidden="1">
      <extLst>
        <ext xmlns:x15="http://schemas.microsoft.com/office/spreadsheetml/2010/11/main" uri="{B97F6D7D-B522-45F9-BDA1-12C45D357490}">
          <x15:cacheHierarchy aggregatedColumn="11"/>
        </ext>
      </extLst>
    </cacheHierarchy>
    <cacheHierarchy uniqueName="[Measures].[Sum of Unit Cost (₦)]" caption="Sum of Unit Cost (₦)" measure="1" displayFolder="" measureGroup="Table1" count="0" hidden="1">
      <extLst>
        <ext xmlns:x15="http://schemas.microsoft.com/office/spreadsheetml/2010/11/main" uri="{B97F6D7D-B522-45F9-BDA1-12C45D357490}">
          <x15:cacheHierarchy aggregatedColumn="6"/>
        </ext>
      </extLst>
    </cacheHierarchy>
    <cacheHierarchy uniqueName="[Measures].[Sum of Variance (₦)]" caption="Sum of Variance (₦)"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796749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B4439-2198-4D60-8C08-D78C2C9C5CA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8:F14" firstHeaderRow="0"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v="2"/>
    </i>
    <i>
      <x v="1"/>
    </i>
    <i>
      <x/>
    </i>
    <i>
      <x v="3"/>
    </i>
    <i>
      <x v="4"/>
    </i>
    <i t="grand">
      <x/>
    </i>
  </rowItems>
  <colFields count="1">
    <field x="-2"/>
  </colFields>
  <colItems count="2">
    <i>
      <x/>
    </i>
    <i i="1">
      <x v="1"/>
    </i>
  </colItems>
  <dataFields count="2">
    <dataField name="Sum of Actual Cost (₦)" fld="0" baseField="0" baseItem="0" numFmtId="165"/>
    <dataField name="% of Actual Cost per Month" fld="2" showDataAs="percentOfTotal" baseField="0" baseItem="0" numFmtId="166">
      <extLst>
        <ext xmlns:x14="http://schemas.microsoft.com/office/spreadsheetml/2009/9/main" uri="{E15A36E0-9728-4e99-A89B-3F7291B0FE68}">
          <x14:dataField sourceField="0" uniqueName="[__Xl2].[Measures].[Sum of Actual Cost (₦)]"/>
        </ext>
      </extLst>
    </dataField>
  </dataFields>
  <formats count="5">
    <format dxfId="8">
      <pivotArea outline="0" collapsedLevelsAreSubtotals="1" fieldPosition="0"/>
    </format>
    <format dxfId="7">
      <pivotArea dataOnly="0" labelOnly="1" outline="0" axis="axisValues" fieldPosition="0"/>
    </format>
    <format dxfId="6">
      <pivotArea outline="0" fieldPosition="0">
        <references count="1">
          <reference field="4294967294" count="1">
            <x v="1"/>
          </reference>
        </references>
      </pivotArea>
    </format>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s>
  <chartFormats count="5">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3" format="7">
      <pivotArea type="data" outline="0" fieldPosition="0">
        <references count="2">
          <reference field="4294967294" count="1" selected="0">
            <x v="1"/>
          </reference>
          <reference field="1" count="1" selected="0">
            <x v="4"/>
          </reference>
        </references>
      </pivotArea>
    </chartFormat>
    <chartFormat chart="3" format="8">
      <pivotArea type="data" outline="0" fieldPosition="0">
        <references count="2">
          <reference field="4294967294" count="1" selected="0">
            <x v="0"/>
          </reference>
          <reference field="1" count="1" selected="0">
            <x v="4"/>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Month"/>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BC84F-1D31-4D9E-9AF4-52B3B8BC725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upplier Name">
  <location ref="D1:F6" firstHeaderRow="0"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5">
    <i>
      <x v="3"/>
    </i>
    <i>
      <x v="2"/>
    </i>
    <i>
      <x v="1"/>
    </i>
    <i>
      <x/>
    </i>
    <i t="grand">
      <x/>
    </i>
  </rowItems>
  <colFields count="1">
    <field x="-2"/>
  </colFields>
  <colItems count="2">
    <i>
      <x/>
    </i>
    <i i="1">
      <x v="1"/>
    </i>
  </colItems>
  <dataFields count="2">
    <dataField name="Sum of Actual Cost (₦)" fld="0" baseField="0" baseItem="0" numFmtId="165"/>
    <dataField name="% of Actual Cost per Supplier" fld="3" showDataAs="percentOfTotal" baseField="0" baseItem="0" numFmtId="166">
      <extLst>
        <ext xmlns:x14="http://schemas.microsoft.com/office/spreadsheetml/2009/9/main" uri="{E15A36E0-9728-4e99-A89B-3F7291B0FE68}">
          <x14:dataField sourceField="0" uniqueName="[__Xl2].[Measures].[Sum of Actual Cost (₦)]"/>
        </ext>
      </extLst>
    </dataField>
  </dataFields>
  <formats count="5">
    <format dxfId="13">
      <pivotArea outline="0" collapsedLevelsAreSubtotals="1" fieldPosition="0"/>
    </format>
    <format dxfId="12">
      <pivotArea dataOnly="0" labelOnly="1" outline="0" axis="axisValues" fieldPosition="0"/>
    </format>
    <format dxfId="11">
      <pivotArea outline="0" fieldPosition="0">
        <references count="1">
          <reference field="4294967294" count="1">
            <x v="1"/>
          </reference>
        </references>
      </pivotArea>
    </format>
    <format dxfId="10">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1"/>
          </reference>
        </references>
      </pivotArea>
    </format>
  </format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series="1">
      <pivotArea type="data" outline="0" fieldPosition="0">
        <references count="1">
          <reference field="4294967294" count="1" selected="0">
            <x v="1"/>
          </reference>
        </references>
      </pivotArea>
    </chartFormat>
    <chartFormat chart="8" format="13">
      <pivotArea type="data" outline="0" fieldPosition="0">
        <references count="2">
          <reference field="4294967294" count="1" selected="0">
            <x v="1"/>
          </reference>
          <reference field="1" count="1" selected="0">
            <x v="3"/>
          </reference>
        </references>
      </pivotArea>
    </chartFormat>
    <chartFormat chart="8" format="14">
      <pivotArea type="data" outline="0" fieldPosition="0">
        <references count="2">
          <reference field="4294967294" count="1" selected="0">
            <x v="1"/>
          </reference>
          <reference field="1" count="1" selected="0">
            <x v="0"/>
          </reference>
        </references>
      </pivotArea>
    </chartFormat>
  </chartFormats>
  <pivotHierarchies count="28">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Supplier"/>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2B5E09-23DC-4A2B-8FD6-F9BF04AB785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aterial Purchased">
  <location ref="A12:B21"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7"/>
    </i>
    <i>
      <x v="5"/>
    </i>
    <i>
      <x v="2"/>
    </i>
    <i>
      <x v="6"/>
    </i>
    <i>
      <x v="3"/>
    </i>
    <i>
      <x v="1"/>
    </i>
    <i>
      <x/>
    </i>
    <i t="grand">
      <x/>
    </i>
  </rowItems>
  <colItems count="1">
    <i/>
  </colItems>
  <dataFields count="1">
    <dataField name="Total Cost per Material (₦)" fld="1" baseField="0" baseItem="0"/>
  </dataFields>
  <formats count="2">
    <format dxfId="15">
      <pivotArea outline="0" collapsedLevelsAreSubtotals="1" fieldPosition="0"/>
    </format>
    <format dxfId="14">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Cost per Material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40A67-477D-48D4-82EC-03C16FD066BE}" name="PivotTable7" cacheId="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maining Phase ">
  <location ref="H14" firstHeaderRow="0" firstDataRow="0" firstDataCol="0"/>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Remaining Phase Cost" fld="1" baseField="0" baseItem="0"/>
  </dataFields>
  <formats count="2">
    <format dxfId="17">
      <pivotArea outline="0" collapsedLevelsAreSubtotals="1" fieldPosition="0"/>
    </format>
    <format dxfId="16">
      <pivotArea dataOnly="0" labelOnly="1" outline="0" axis="axisValues" fieldPosition="0"/>
    </format>
  </formats>
  <pivotHierarchies count="2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Activity"/>
    <pivotHierarchy dragToData="1" caption="Remaining Phase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0A55C-3FE8-41D4-8A0F-8092E508EE59}"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Phase">
  <location ref="H1:I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i>
    <i>
      <x v="3"/>
    </i>
    <i>
      <x v="7"/>
    </i>
    <i>
      <x v="5"/>
    </i>
    <i>
      <x v="6"/>
    </i>
    <i>
      <x v="1"/>
    </i>
    <i>
      <x v="2"/>
    </i>
    <i>
      <x v="4"/>
    </i>
    <i t="grand">
      <x/>
    </i>
  </rowItems>
  <colItems count="1">
    <i/>
  </colItems>
  <dataFields count="1">
    <dataField name="Sum of Labour Cost (₦)" fld="1" baseField="0" baseItem="0"/>
  </dataFields>
  <formats count="2">
    <format dxfId="19">
      <pivotArea outline="0" collapsedLevelsAreSubtotals="1" fieldPosition="0"/>
    </format>
    <format dxfId="18">
      <pivotArea dataOnly="0" labelOnly="1" outline="0" axis="axisValues" fieldPosition="0"/>
    </format>
  </formats>
  <pivotHierarchies count="2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Activ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E6AD0D-32E5-4AFB-98C7-01639BA83B28}"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ctivity Name">
  <location ref="A1:B10"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7"/>
    </i>
    <i>
      <x/>
    </i>
    <i>
      <x v="2"/>
    </i>
    <i>
      <x v="5"/>
    </i>
    <i>
      <x v="6"/>
    </i>
    <i>
      <x v="1"/>
    </i>
    <i>
      <x v="4"/>
    </i>
    <i>
      <x v="3"/>
    </i>
    <i t="grand">
      <x/>
    </i>
  </rowItems>
  <colItems count="1">
    <i/>
  </colItems>
  <dataFields count="1">
    <dataField name="Sum of Labour Cost (₦)" fld="1" baseField="0" baseItem="0"/>
  </dataFields>
  <formats count="2">
    <format dxfId="21">
      <pivotArea outline="0" collapsedLevelsAreSubtotals="1" fieldPosition="0"/>
    </format>
    <format dxfId="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Activ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E8332D-CEA9-4479-8EF4-3094C47A1129}"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Project Phase">
  <location ref="D16:G25" firstHeaderRow="0" firstDataRow="1" firstDataCol="1"/>
  <pivotFields count="6">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9">
    <i>
      <x/>
    </i>
    <i>
      <x v="3"/>
    </i>
    <i>
      <x v="7"/>
    </i>
    <i>
      <x v="5"/>
    </i>
    <i>
      <x v="6"/>
    </i>
    <i>
      <x v="1"/>
    </i>
    <i>
      <x v="2"/>
    </i>
    <i>
      <x v="4"/>
    </i>
    <i t="grand">
      <x/>
    </i>
  </rowItems>
  <colFields count="1">
    <field x="-2"/>
  </colFields>
  <colItems count="3">
    <i>
      <x/>
    </i>
    <i i="1">
      <x v="1"/>
    </i>
    <i i="2">
      <x v="2"/>
    </i>
  </colItems>
  <dataFields count="3">
    <dataField name="Total Cost per Activity (₦)" fld="1" baseField="0" baseItem="7" numFmtId="165"/>
    <dataField name="Sum of Planned Budget (₦)" fld="3" baseField="0" baseItem="0"/>
    <dataField name="Sum of Variance (₦)" fld="4" baseField="0" baseItem="0"/>
  </dataFields>
  <formats count="2">
    <format dxfId="23">
      <pivotArea outline="0" collapsedLevelsAreSubtotals="1" fieldPosition="0"/>
    </format>
    <format dxfId="22">
      <pivotArea dataOnly="0" labelOnly="1" outline="0" axis="axisValues" fieldPosition="0"/>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7">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 of Actual Cost per Activ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rrected_Warehouse_Construction_Cost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Phase" xr10:uid="{B8DE2C10-0B52-4B00-A773-B0006E8720E5}" sourceName="[Table1].[Project Phase]">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796749359">
      <levels count="2">
        <level uniqueName="[Table1].[Project Phase].[(All)]" sourceCaption="(All)" count="0"/>
        <level uniqueName="[Table1].[Project Phase].[Project Phase]" sourceCaption="Project Phase" count="8">
          <ranges>
            <range startItem="0">
              <i n="[Table1].[Project Phase].&amp;[Block Work]" c="Block Work"/>
              <i n="[Table1].[Project Phase].&amp;[Electrical Installation]" c="Electrical Installation"/>
              <i n="[Table1].[Project Phase].&amp;[Finishing]" c="Finishing"/>
              <i n="[Table1].[Project Phase].&amp;[Foundation]" c="Foundation"/>
              <i n="[Table1].[Project Phase].&amp;[Painting]" c="Painting"/>
              <i n="[Table1].[Project Phase].&amp;[Plumbing]" c="Plumbing"/>
              <i n="[Table1].[Project Phase].&amp;[Roofing]" c="Roofing"/>
              <i n="[Table1].[Project Phase].&amp;[Site Preparation]" c="Site Preparation"/>
            </range>
          </ranges>
        </level>
      </levels>
      <selections count="1">
        <selection n="[Table1].[Project Phas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8944521B-2D09-43FA-B0F6-D9684EE50887}" sourceName="[Table1].[Months]">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796749359">
      <levels count="2">
        <level uniqueName="[Table1].[Months].[(All)]" sourceCaption="(All)" count="0"/>
        <level uniqueName="[Table1].[Months].[Months]" sourceCaption="Months" count="5">
          <ranges>
            <range startItem="0">
              <i n="[Table1].[Months].&amp;[Apr]" c="Apr"/>
              <i n="[Table1].[Months].&amp;[Feb]" c="Feb"/>
              <i n="[Table1].[Months].&amp;[Jan]" c="Jan"/>
              <i n="[Table1].[Months].&amp;[Mar]" c="Mar"/>
              <i n="[Table1].[Months].&amp;[May]" c="May"/>
            </range>
          </ranges>
        </level>
      </levels>
      <selections count="1">
        <selection n="[Table1].[Month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0ABA53D2-EC97-4781-98E6-EAEC8177CC4C}" sourceName="[Table1].[Supplier Name]">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796749359">
      <levels count="2">
        <level uniqueName="[Table1].[Supplier Name].[(All)]" sourceCaption="(All)" count="0"/>
        <level uniqueName="[Table1].[Supplier Name].[Supplier Name]" sourceCaption="Supplier Name" count="4">
          <ranges>
            <range startItem="0">
              <i n="[Table1].[Supplier Name].&amp;[Alpha Construction Supply]" c="Alpha Construction Supply"/>
              <i n="[Table1].[Supplier Name].&amp;[BuildMart Ltd]" c="BuildMart Ltd"/>
              <i n="[Table1].[Supplier Name].&amp;[Mega Builders Depot]" c="Mega Builders Depot"/>
              <i n="[Table1].[Supplier Name].&amp;[Prime Materials Co.]" c="Prime Materials Co."/>
            </range>
          </ranges>
        </level>
      </levels>
      <selections count="1">
        <selection n="[Table1].[Supplie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Phase" xr10:uid="{0161694E-8E8C-46F7-81D7-157E8AA9DB33}" cache="Slicer_Project_Phase" caption="Project Phase" level="1" rowHeight="234950"/>
  <slicer name="Months" xr10:uid="{532BF6C7-B770-43AB-AD88-4A90B387D5FA}" cache="Slicer_Months" caption="Months" level="1" rowHeight="234950"/>
  <slicer name="Supplier Name" xr10:uid="{4E7B0180-3CDA-4C2B-8A81-A731EA1176B8}" cache="Slicer_Supplier_Name" caption="Supplier Nam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DC3A5-51C6-422A-8CE9-1BEEAAA5A6F5}" name="Table1" displayName="Table1" ref="A1:R41" totalsRowShown="0">
  <autoFilter ref="A1:R41" xr:uid="{119DC3A5-51C6-422A-8CE9-1BEEAAA5A6F5}"/>
  <tableColumns count="18">
    <tableColumn id="1" xr3:uid="{C2AB1176-820E-43FE-81CE-4216E0451D65}" name="Date" dataDxfId="28"/>
    <tableColumn id="2" xr3:uid="{7606AF92-AE6B-438E-A8C3-7E8FEC7F3822}" name="Project Phase"/>
    <tableColumn id="3" xr3:uid="{F7DC6D6E-5B87-4761-AC99-B73974AD8F35}" name="Activity Name"/>
    <tableColumn id="4" xr3:uid="{FD4C31EF-6786-44B0-A2C7-7C6C498EA575}" name="Material Purchased"/>
    <tableColumn id="5" xr3:uid="{916ECFBB-4931-4E98-AC97-D95E09302363}" name="Supplier Name"/>
    <tableColumn id="6" xr3:uid="{5BCA1D55-D826-4203-9855-543DE53B2AE8}" name="Quantity"/>
    <tableColumn id="7" xr3:uid="{7F153A82-D408-45C2-818A-106D198F0799}" name="Unit Cost (₦)"/>
    <tableColumn id="18" xr3:uid="{AF18CDF4-2B1C-4C3F-87F1-C7A47B8289FC}" name="Material Cost" dataDxfId="27">
      <calculatedColumnFormula>Table1[[#This Row],[Quantity]]*Table1[[#This Row],[Unit Cost (₦)]]</calculatedColumnFormula>
    </tableColumn>
    <tableColumn id="8" xr3:uid="{0A00F066-4326-4865-8B58-6CE96690698C}" name="Total Cost (₦)"/>
    <tableColumn id="9" xr3:uid="{BC23E524-B9AE-4F47-A09F-D103FCD5534C}" name="Labour Cost (₦)"/>
    <tableColumn id="10" xr3:uid="{38BD0995-3078-4901-875E-D81FB190E38B}" name="Equipment Cost (₦)"/>
    <tableColumn id="11" xr3:uid="{71F54BF5-1FE8-4F32-A674-B13C9346B842}" name="Transportation Cost (₦)"/>
    <tableColumn id="12" xr3:uid="{28C1E5E1-1BF9-42DD-BE8B-A386665EBD9A}" name="Other Expenses (₦)"/>
    <tableColumn id="13" xr3:uid="{89F7D524-BFB5-4BC5-BB74-7795B81E96FD}" name="Planned Budget (₦)"/>
    <tableColumn id="14" xr3:uid="{FA05DE11-800C-45E8-816D-A3EB8516E7AD}" name="Actual Cost (₦)"/>
    <tableColumn id="15" xr3:uid="{6B94CA2A-8328-4A98-9B48-B4F3B254B1B3}" name="Variance (₦)"/>
    <tableColumn id="16" xr3:uid="{857437DB-CC20-47DF-8FFE-10F02312F016}" name="Status"/>
    <tableColumn id="17" xr3:uid="{58DF53A7-649B-4910-A46B-528FCE5C4EA1}" name="Months" dataDxfId="26">
      <calculatedColumnFormula>TEXT(Table1[[#This Row],[Date]],"mmm")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C14C89-05B3-4573-ABFE-115FB1889107}" name="Table2" displayName="Table2" ref="A1:E7" totalsRowShown="0">
  <autoFilter ref="A1:E7" xr:uid="{58C14C89-05B3-4573-ABFE-115FB1889107}">
    <filterColumn colId="0">
      <filters>
        <filter val="Other Expenses"/>
      </filters>
    </filterColumn>
  </autoFilter>
  <tableColumns count="5">
    <tableColumn id="1" xr3:uid="{707542C3-BD2E-4CB9-8ABE-C2F59352D373}" name="Cost Category"/>
    <tableColumn id="2" xr3:uid="{600E5817-9427-4568-8B28-A24CF72B282C}" name="Amount Spent" dataDxfId="25">
      <calculatedColumnFormula>SUM(Table1[Material Cost])</calculatedColumnFormula>
    </tableColumn>
    <tableColumn id="3" xr3:uid="{0B424DAF-7082-487E-BC6F-6757E37A59E8}" name="Precentage Cost" dataDxfId="24">
      <calculatedColumnFormula>(Table2[[#This Row],[Amount Spent]]/B7)*100</calculatedColumnFormula>
    </tableColumn>
    <tableColumn id="4" xr3:uid="{BC74F69E-04E8-41BF-9CAC-F69065BE89DD}" name="Planned Allocation"/>
    <tableColumn id="5" xr3:uid="{217A8022-6BE0-4A4B-B058-64179D9533D8}" name="Variance (-)"/>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0AA05B-0816-4407-877D-BA0CEF481448}" name="Table3" displayName="Table3" ref="H22:I24" totalsRowShown="0">
  <autoFilter ref="H22:I24" xr:uid="{6C0AA05B-0816-4407-877D-BA0CEF481448}"/>
  <tableColumns count="2">
    <tableColumn id="1" xr3:uid="{F1ABEAD8-10D9-4A42-8D0C-8DDF5C2CF3F8}" name="Category" dataDxfId="3"/>
    <tableColumn id="2" xr3:uid="{8FF5BD9B-0A9C-4089-B533-0029634B3766}" name="Amount"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
  <sheetViews>
    <sheetView topLeftCell="B1" workbookViewId="0">
      <selection activeCell="T8" sqref="T8"/>
    </sheetView>
  </sheetViews>
  <sheetFormatPr defaultRowHeight="14.4" x14ac:dyDescent="0.3"/>
  <cols>
    <col min="1" max="1" width="13" customWidth="1"/>
    <col min="2" max="3" width="25" customWidth="1"/>
    <col min="4" max="4" width="21" customWidth="1"/>
    <col min="5" max="5" width="25" customWidth="1"/>
    <col min="6" max="6" width="11" customWidth="1"/>
    <col min="7" max="8" width="16" customWidth="1"/>
    <col min="9" max="9" width="17" customWidth="1"/>
    <col min="10" max="10" width="18" customWidth="1"/>
    <col min="11" max="11" width="21" customWidth="1"/>
    <col min="12" max="12" width="25" customWidth="1"/>
    <col min="13" max="14" width="21" customWidth="1"/>
    <col min="15" max="15" width="18" customWidth="1"/>
    <col min="16" max="16" width="15" customWidth="1"/>
    <col min="17" max="17" width="16" customWidth="1"/>
  </cols>
  <sheetData>
    <row r="1" spans="1:20" x14ac:dyDescent="0.3">
      <c r="A1" t="s">
        <v>0</v>
      </c>
      <c r="B1" t="s">
        <v>1</v>
      </c>
      <c r="C1" t="s">
        <v>44</v>
      </c>
      <c r="D1" t="s">
        <v>2</v>
      </c>
      <c r="E1" t="s">
        <v>45</v>
      </c>
      <c r="F1" t="s">
        <v>3</v>
      </c>
      <c r="G1" t="s">
        <v>4</v>
      </c>
      <c r="H1" t="s">
        <v>62</v>
      </c>
      <c r="I1" t="s">
        <v>5</v>
      </c>
      <c r="J1" t="s">
        <v>6</v>
      </c>
      <c r="K1" t="s">
        <v>7</v>
      </c>
      <c r="L1" t="s">
        <v>8</v>
      </c>
      <c r="M1" t="s">
        <v>9</v>
      </c>
      <c r="N1" t="s">
        <v>10</v>
      </c>
      <c r="O1" t="s">
        <v>11</v>
      </c>
      <c r="P1" t="s">
        <v>12</v>
      </c>
      <c r="Q1" t="s">
        <v>13</v>
      </c>
      <c r="R1" t="s">
        <v>52</v>
      </c>
    </row>
    <row r="2" spans="1:20" x14ac:dyDescent="0.3">
      <c r="A2" s="1">
        <v>45699</v>
      </c>
      <c r="B2" t="s">
        <v>14</v>
      </c>
      <c r="C2" t="s">
        <v>15</v>
      </c>
      <c r="D2" t="s">
        <v>16</v>
      </c>
      <c r="E2" t="s">
        <v>17</v>
      </c>
      <c r="F2">
        <v>368</v>
      </c>
      <c r="G2">
        <v>2092</v>
      </c>
      <c r="H2">
        <f>Table1[[#This Row],[Quantity]]*Table1[[#This Row],[Unit Cost (₦)]]</f>
        <v>769856</v>
      </c>
      <c r="I2">
        <v>1400000</v>
      </c>
      <c r="J2">
        <v>350000</v>
      </c>
      <c r="K2">
        <v>140000</v>
      </c>
      <c r="L2">
        <v>98000</v>
      </c>
      <c r="M2">
        <v>42000</v>
      </c>
      <c r="N2">
        <v>1000000</v>
      </c>
      <c r="O2">
        <v>1400000</v>
      </c>
      <c r="P2">
        <v>-400000</v>
      </c>
      <c r="Q2" t="s">
        <v>18</v>
      </c>
      <c r="R2" t="str">
        <f>TEXT(Table1[[#This Row],[Date]],"mmm")</f>
        <v>Feb</v>
      </c>
    </row>
    <row r="3" spans="1:20" x14ac:dyDescent="0.3">
      <c r="A3" s="1">
        <v>45755</v>
      </c>
      <c r="B3" t="s">
        <v>14</v>
      </c>
      <c r="C3" t="s">
        <v>15</v>
      </c>
      <c r="D3" t="s">
        <v>16</v>
      </c>
      <c r="E3" t="s">
        <v>19</v>
      </c>
      <c r="F3">
        <v>457</v>
      </c>
      <c r="G3">
        <v>1684</v>
      </c>
      <c r="H3">
        <f>Table1[[#This Row],[Quantity]]*Table1[[#This Row],[Unit Cost (₦)]]</f>
        <v>769588</v>
      </c>
      <c r="I3">
        <v>1400000</v>
      </c>
      <c r="J3">
        <v>350000</v>
      </c>
      <c r="K3">
        <v>140000</v>
      </c>
      <c r="L3">
        <v>98000</v>
      </c>
      <c r="M3">
        <v>42000</v>
      </c>
      <c r="N3">
        <v>1000000</v>
      </c>
      <c r="O3">
        <v>1400000</v>
      </c>
      <c r="P3">
        <v>-400000</v>
      </c>
      <c r="Q3" t="s">
        <v>18</v>
      </c>
      <c r="R3" t="str">
        <f>TEXT(Table1[[#This Row],[Date]],"mmm")</f>
        <v>Apr</v>
      </c>
    </row>
    <row r="4" spans="1:20" x14ac:dyDescent="0.3">
      <c r="A4" s="1">
        <v>45726</v>
      </c>
      <c r="B4" t="s">
        <v>14</v>
      </c>
      <c r="C4" t="s">
        <v>15</v>
      </c>
      <c r="D4" t="s">
        <v>16</v>
      </c>
      <c r="E4" t="s">
        <v>20</v>
      </c>
      <c r="F4">
        <v>480</v>
      </c>
      <c r="G4">
        <v>1604</v>
      </c>
      <c r="H4">
        <f>Table1[[#This Row],[Quantity]]*Table1[[#This Row],[Unit Cost (₦)]]</f>
        <v>769920</v>
      </c>
      <c r="I4">
        <v>1400000</v>
      </c>
      <c r="J4">
        <v>350000</v>
      </c>
      <c r="K4">
        <v>140000</v>
      </c>
      <c r="L4">
        <v>98000</v>
      </c>
      <c r="M4">
        <v>42000</v>
      </c>
      <c r="N4">
        <v>1000000</v>
      </c>
      <c r="O4">
        <v>1400000</v>
      </c>
      <c r="P4">
        <v>-400000</v>
      </c>
      <c r="Q4" t="s">
        <v>18</v>
      </c>
      <c r="R4" t="str">
        <f>TEXT(Table1[[#This Row],[Date]],"mmm")</f>
        <v>Mar</v>
      </c>
    </row>
    <row r="5" spans="1:20" x14ac:dyDescent="0.3">
      <c r="A5" s="1">
        <v>45673</v>
      </c>
      <c r="B5" t="s">
        <v>14</v>
      </c>
      <c r="C5" t="s">
        <v>15</v>
      </c>
      <c r="D5" t="s">
        <v>16</v>
      </c>
      <c r="E5" t="s">
        <v>20</v>
      </c>
      <c r="F5">
        <v>382</v>
      </c>
      <c r="G5">
        <v>2015</v>
      </c>
      <c r="H5">
        <f>Table1[[#This Row],[Quantity]]*Table1[[#This Row],[Unit Cost (₦)]]</f>
        <v>769730</v>
      </c>
      <c r="I5">
        <v>1400000</v>
      </c>
      <c r="J5">
        <v>350000</v>
      </c>
      <c r="K5">
        <v>140000</v>
      </c>
      <c r="L5">
        <v>98000</v>
      </c>
      <c r="M5">
        <v>42000</v>
      </c>
      <c r="N5">
        <v>1000000</v>
      </c>
      <c r="O5">
        <v>1400000</v>
      </c>
      <c r="P5">
        <v>-400000</v>
      </c>
      <c r="Q5" t="s">
        <v>18</v>
      </c>
      <c r="R5" t="str">
        <f>TEXT(Table1[[#This Row],[Date]],"mmm")</f>
        <v>Jan</v>
      </c>
    </row>
    <row r="6" spans="1:20" x14ac:dyDescent="0.3">
      <c r="A6" s="1">
        <v>45714</v>
      </c>
      <c r="B6" t="s">
        <v>14</v>
      </c>
      <c r="C6" t="s">
        <v>15</v>
      </c>
      <c r="D6" t="s">
        <v>16</v>
      </c>
      <c r="E6" t="s">
        <v>21</v>
      </c>
      <c r="F6">
        <v>107</v>
      </c>
      <c r="G6">
        <v>7196</v>
      </c>
      <c r="H6">
        <f>Table1[[#This Row],[Quantity]]*Table1[[#This Row],[Unit Cost (₦)]]</f>
        <v>769972</v>
      </c>
      <c r="I6">
        <v>1400000</v>
      </c>
      <c r="J6">
        <v>350000</v>
      </c>
      <c r="K6">
        <v>140000</v>
      </c>
      <c r="L6">
        <v>98000</v>
      </c>
      <c r="M6">
        <v>42000</v>
      </c>
      <c r="N6">
        <v>1000000</v>
      </c>
      <c r="O6">
        <v>1400000</v>
      </c>
      <c r="P6">
        <v>-400000</v>
      </c>
      <c r="Q6" t="s">
        <v>18</v>
      </c>
      <c r="R6" t="str">
        <f>TEXT(Table1[[#This Row],[Date]],"mmm")</f>
        <v>Feb</v>
      </c>
    </row>
    <row r="7" spans="1:20" x14ac:dyDescent="0.3">
      <c r="A7" s="1">
        <v>45698</v>
      </c>
      <c r="B7" t="s">
        <v>22</v>
      </c>
      <c r="C7" t="s">
        <v>23</v>
      </c>
      <c r="D7" t="s">
        <v>24</v>
      </c>
      <c r="E7" t="s">
        <v>21</v>
      </c>
      <c r="F7">
        <v>494</v>
      </c>
      <c r="G7">
        <v>5566</v>
      </c>
      <c r="H7">
        <f>Table1[[#This Row],[Quantity]]*Table1[[#This Row],[Unit Cost (₦)]]</f>
        <v>2749604</v>
      </c>
      <c r="I7">
        <v>5000000</v>
      </c>
      <c r="J7">
        <v>1250000</v>
      </c>
      <c r="K7">
        <v>500000</v>
      </c>
      <c r="L7">
        <v>350000</v>
      </c>
      <c r="M7">
        <v>150000</v>
      </c>
      <c r="N7">
        <v>4000000</v>
      </c>
      <c r="O7">
        <v>5000000</v>
      </c>
      <c r="P7">
        <v>-1000000</v>
      </c>
      <c r="Q7" t="s">
        <v>18</v>
      </c>
      <c r="R7" t="str">
        <f>TEXT(Table1[[#This Row],[Date]],"mmm")</f>
        <v>Feb</v>
      </c>
    </row>
    <row r="8" spans="1:20" x14ac:dyDescent="0.3">
      <c r="A8" s="1">
        <v>45680</v>
      </c>
      <c r="B8" t="s">
        <v>22</v>
      </c>
      <c r="C8" t="s">
        <v>23</v>
      </c>
      <c r="D8" t="s">
        <v>24</v>
      </c>
      <c r="E8" t="s">
        <v>20</v>
      </c>
      <c r="F8">
        <v>328</v>
      </c>
      <c r="G8">
        <v>8384</v>
      </c>
      <c r="H8">
        <f>Table1[[#This Row],[Quantity]]*Table1[[#This Row],[Unit Cost (₦)]]</f>
        <v>2749952</v>
      </c>
      <c r="I8">
        <v>5000000</v>
      </c>
      <c r="J8">
        <v>1250000</v>
      </c>
      <c r="K8">
        <v>500000</v>
      </c>
      <c r="L8">
        <v>350000</v>
      </c>
      <c r="M8">
        <v>150000</v>
      </c>
      <c r="N8">
        <v>4000000</v>
      </c>
      <c r="O8">
        <v>5000000</v>
      </c>
      <c r="P8">
        <v>-1000000</v>
      </c>
      <c r="Q8" t="s">
        <v>18</v>
      </c>
      <c r="R8" t="str">
        <f>TEXT(Table1[[#This Row],[Date]],"mmm")</f>
        <v>Jan</v>
      </c>
      <c r="T8">
        <f>SUM(Table1[Material Cost])</f>
        <v>38497503</v>
      </c>
    </row>
    <row r="9" spans="1:20" x14ac:dyDescent="0.3">
      <c r="A9" s="1">
        <v>45760</v>
      </c>
      <c r="B9" t="s">
        <v>22</v>
      </c>
      <c r="C9" t="s">
        <v>23</v>
      </c>
      <c r="D9" t="s">
        <v>24</v>
      </c>
      <c r="E9" t="s">
        <v>20</v>
      </c>
      <c r="F9">
        <v>56</v>
      </c>
      <c r="G9">
        <v>49107</v>
      </c>
      <c r="H9">
        <f>Table1[[#This Row],[Quantity]]*Table1[[#This Row],[Unit Cost (₦)]]</f>
        <v>2749992</v>
      </c>
      <c r="I9">
        <v>5000000</v>
      </c>
      <c r="J9">
        <v>1250000</v>
      </c>
      <c r="K9">
        <v>500000</v>
      </c>
      <c r="L9">
        <v>350000</v>
      </c>
      <c r="M9">
        <v>150000</v>
      </c>
      <c r="N9">
        <v>4000000</v>
      </c>
      <c r="O9">
        <v>5000000</v>
      </c>
      <c r="P9">
        <v>-1000000</v>
      </c>
      <c r="Q9" t="s">
        <v>18</v>
      </c>
      <c r="R9" t="str">
        <f>TEXT(Table1[[#This Row],[Date]],"mmm")</f>
        <v>Apr</v>
      </c>
    </row>
    <row r="10" spans="1:20" x14ac:dyDescent="0.3">
      <c r="A10" s="1">
        <v>45702</v>
      </c>
      <c r="B10" t="s">
        <v>22</v>
      </c>
      <c r="C10" t="s">
        <v>23</v>
      </c>
      <c r="D10" t="s">
        <v>24</v>
      </c>
      <c r="E10" t="s">
        <v>20</v>
      </c>
      <c r="F10">
        <v>258</v>
      </c>
      <c r="G10">
        <v>10658</v>
      </c>
      <c r="H10">
        <f>Table1[[#This Row],[Quantity]]*Table1[[#This Row],[Unit Cost (₦)]]</f>
        <v>2749764</v>
      </c>
      <c r="I10">
        <v>5000000</v>
      </c>
      <c r="J10">
        <v>1250000</v>
      </c>
      <c r="K10">
        <v>500000</v>
      </c>
      <c r="L10">
        <v>350000</v>
      </c>
      <c r="M10">
        <v>150000</v>
      </c>
      <c r="N10">
        <v>4000000</v>
      </c>
      <c r="O10">
        <v>5000000</v>
      </c>
      <c r="P10">
        <v>-1000000</v>
      </c>
      <c r="Q10" t="s">
        <v>18</v>
      </c>
      <c r="R10" t="str">
        <f>TEXT(Table1[[#This Row],[Date]],"mmm")</f>
        <v>Feb</v>
      </c>
    </row>
    <row r="11" spans="1:20" x14ac:dyDescent="0.3">
      <c r="A11" s="1">
        <v>45765</v>
      </c>
      <c r="B11" t="s">
        <v>22</v>
      </c>
      <c r="C11" t="s">
        <v>23</v>
      </c>
      <c r="D11" t="s">
        <v>24</v>
      </c>
      <c r="E11" t="s">
        <v>21</v>
      </c>
      <c r="F11">
        <v>494</v>
      </c>
      <c r="G11">
        <v>5566</v>
      </c>
      <c r="H11">
        <f>Table1[[#This Row],[Quantity]]*Table1[[#This Row],[Unit Cost (₦)]]</f>
        <v>2749604</v>
      </c>
      <c r="I11">
        <v>5000000</v>
      </c>
      <c r="J11">
        <v>1250000</v>
      </c>
      <c r="K11">
        <v>500000</v>
      </c>
      <c r="L11">
        <v>350000</v>
      </c>
      <c r="M11">
        <v>150000</v>
      </c>
      <c r="N11">
        <v>4000000</v>
      </c>
      <c r="O11">
        <v>5000000</v>
      </c>
      <c r="P11">
        <v>-1000000</v>
      </c>
      <c r="Q11" t="s">
        <v>18</v>
      </c>
      <c r="R11" t="str">
        <f>TEXT(Table1[[#This Row],[Date]],"mmm")</f>
        <v>Apr</v>
      </c>
    </row>
    <row r="12" spans="1:20" x14ac:dyDescent="0.3">
      <c r="A12" s="1">
        <v>45764</v>
      </c>
      <c r="B12" t="s">
        <v>25</v>
      </c>
      <c r="C12" t="s">
        <v>26</v>
      </c>
      <c r="D12" t="s">
        <v>27</v>
      </c>
      <c r="E12" t="s">
        <v>19</v>
      </c>
      <c r="F12">
        <v>131</v>
      </c>
      <c r="G12">
        <v>31908</v>
      </c>
      <c r="H12">
        <f>Table1[[#This Row],[Quantity]]*Table1[[#This Row],[Unit Cost (₦)]]</f>
        <v>4179948</v>
      </c>
      <c r="I12">
        <v>7600000</v>
      </c>
      <c r="J12">
        <v>1900000</v>
      </c>
      <c r="K12">
        <v>760000</v>
      </c>
      <c r="L12">
        <v>532000</v>
      </c>
      <c r="M12">
        <v>228000</v>
      </c>
      <c r="N12">
        <v>5000000</v>
      </c>
      <c r="O12">
        <v>7600000</v>
      </c>
      <c r="P12">
        <v>-2600000</v>
      </c>
      <c r="Q12" t="s">
        <v>18</v>
      </c>
      <c r="R12" t="str">
        <f>TEXT(Table1[[#This Row],[Date]],"mmm")</f>
        <v>Apr</v>
      </c>
    </row>
    <row r="13" spans="1:20" x14ac:dyDescent="0.3">
      <c r="A13" s="1">
        <v>45746</v>
      </c>
      <c r="B13" t="s">
        <v>25</v>
      </c>
      <c r="C13" t="s">
        <v>26</v>
      </c>
      <c r="D13" t="s">
        <v>27</v>
      </c>
      <c r="E13" t="s">
        <v>21</v>
      </c>
      <c r="F13">
        <v>121</v>
      </c>
      <c r="G13">
        <v>34545</v>
      </c>
      <c r="H13">
        <f>Table1[[#This Row],[Quantity]]*Table1[[#This Row],[Unit Cost (₦)]]</f>
        <v>4179945</v>
      </c>
      <c r="I13">
        <v>7600000</v>
      </c>
      <c r="J13">
        <v>1900000</v>
      </c>
      <c r="K13">
        <v>760000</v>
      </c>
      <c r="L13">
        <v>532000</v>
      </c>
      <c r="M13">
        <v>228000</v>
      </c>
      <c r="N13">
        <v>5000000</v>
      </c>
      <c r="O13">
        <v>7600000</v>
      </c>
      <c r="P13">
        <v>-2600000</v>
      </c>
      <c r="Q13" t="s">
        <v>18</v>
      </c>
      <c r="R13" t="str">
        <f>TEXT(Table1[[#This Row],[Date]],"mmm")</f>
        <v>Mar</v>
      </c>
    </row>
    <row r="14" spans="1:20" x14ac:dyDescent="0.3">
      <c r="A14" s="1">
        <v>45683</v>
      </c>
      <c r="B14" t="s">
        <v>25</v>
      </c>
      <c r="C14" t="s">
        <v>26</v>
      </c>
      <c r="D14" t="s">
        <v>27</v>
      </c>
      <c r="E14" t="s">
        <v>19</v>
      </c>
      <c r="F14">
        <v>114</v>
      </c>
      <c r="G14">
        <v>36666</v>
      </c>
      <c r="H14">
        <f>Table1[[#This Row],[Quantity]]*Table1[[#This Row],[Unit Cost (₦)]]</f>
        <v>4179924</v>
      </c>
      <c r="I14">
        <v>7600000</v>
      </c>
      <c r="J14">
        <v>1900000</v>
      </c>
      <c r="K14">
        <v>760000</v>
      </c>
      <c r="L14">
        <v>532000</v>
      </c>
      <c r="M14">
        <v>228000</v>
      </c>
      <c r="N14">
        <v>5000000</v>
      </c>
      <c r="O14">
        <v>7600000</v>
      </c>
      <c r="P14">
        <v>-2600000</v>
      </c>
      <c r="Q14" t="s">
        <v>18</v>
      </c>
      <c r="R14" t="str">
        <f>TEXT(Table1[[#This Row],[Date]],"mmm")</f>
        <v>Jan</v>
      </c>
    </row>
    <row r="15" spans="1:20" x14ac:dyDescent="0.3">
      <c r="A15" s="1">
        <v>45667</v>
      </c>
      <c r="B15" t="s">
        <v>25</v>
      </c>
      <c r="C15" t="s">
        <v>26</v>
      </c>
      <c r="D15" t="s">
        <v>27</v>
      </c>
      <c r="E15" t="s">
        <v>20</v>
      </c>
      <c r="F15">
        <v>496</v>
      </c>
      <c r="G15">
        <v>8427</v>
      </c>
      <c r="H15">
        <f>Table1[[#This Row],[Quantity]]*Table1[[#This Row],[Unit Cost (₦)]]</f>
        <v>4179792</v>
      </c>
      <c r="I15">
        <v>7600000</v>
      </c>
      <c r="J15">
        <v>1900000</v>
      </c>
      <c r="K15">
        <v>760000</v>
      </c>
      <c r="L15">
        <v>532000</v>
      </c>
      <c r="M15">
        <v>228000</v>
      </c>
      <c r="N15">
        <v>5000000</v>
      </c>
      <c r="O15">
        <v>7600000</v>
      </c>
      <c r="P15">
        <v>-2600000</v>
      </c>
      <c r="Q15" t="s">
        <v>18</v>
      </c>
      <c r="R15" t="str">
        <f>TEXT(Table1[[#This Row],[Date]],"mmm")</f>
        <v>Jan</v>
      </c>
    </row>
    <row r="16" spans="1:20" x14ac:dyDescent="0.3">
      <c r="A16" s="1">
        <v>45694</v>
      </c>
      <c r="B16" t="s">
        <v>25</v>
      </c>
      <c r="C16" t="s">
        <v>26</v>
      </c>
      <c r="D16" t="s">
        <v>27</v>
      </c>
      <c r="E16" t="s">
        <v>20</v>
      </c>
      <c r="F16">
        <v>446</v>
      </c>
      <c r="G16">
        <v>9372</v>
      </c>
      <c r="H16">
        <f>Table1[[#This Row],[Quantity]]*Table1[[#This Row],[Unit Cost (₦)]]</f>
        <v>4179912</v>
      </c>
      <c r="I16">
        <v>7600000</v>
      </c>
      <c r="J16">
        <v>1900000</v>
      </c>
      <c r="K16">
        <v>760000</v>
      </c>
      <c r="L16">
        <v>532000</v>
      </c>
      <c r="M16">
        <v>228000</v>
      </c>
      <c r="N16">
        <v>5000000</v>
      </c>
      <c r="O16">
        <v>7600000</v>
      </c>
      <c r="P16">
        <v>-2600000</v>
      </c>
      <c r="Q16" t="s">
        <v>18</v>
      </c>
      <c r="R16" t="str">
        <f>TEXT(Table1[[#This Row],[Date]],"mmm")</f>
        <v>Feb</v>
      </c>
    </row>
    <row r="17" spans="1:18" x14ac:dyDescent="0.3">
      <c r="A17" s="1">
        <v>45688</v>
      </c>
      <c r="B17" t="s">
        <v>28</v>
      </c>
      <c r="C17" t="s">
        <v>29</v>
      </c>
      <c r="D17" t="s">
        <v>30</v>
      </c>
      <c r="E17" t="s">
        <v>17</v>
      </c>
      <c r="F17">
        <v>496</v>
      </c>
      <c r="G17">
        <v>0</v>
      </c>
      <c r="H17">
        <f>Table1[[#This Row],[Quantity]]*Table1[[#This Row],[Unit Cost (₦)]]</f>
        <v>0</v>
      </c>
      <c r="I17">
        <v>0</v>
      </c>
      <c r="J17">
        <v>0</v>
      </c>
      <c r="K17">
        <v>0</v>
      </c>
      <c r="L17">
        <v>0</v>
      </c>
      <c r="M17">
        <v>0</v>
      </c>
      <c r="N17">
        <v>3000000</v>
      </c>
      <c r="O17">
        <v>0</v>
      </c>
      <c r="P17">
        <v>3000000</v>
      </c>
      <c r="Q17" t="s">
        <v>31</v>
      </c>
      <c r="R17" t="str">
        <f>TEXT(Table1[[#This Row],[Date]],"mmm")</f>
        <v>Jan</v>
      </c>
    </row>
    <row r="18" spans="1:18" x14ac:dyDescent="0.3">
      <c r="A18" s="1">
        <v>45692</v>
      </c>
      <c r="B18" t="s">
        <v>28</v>
      </c>
      <c r="C18" t="s">
        <v>29</v>
      </c>
      <c r="D18" t="s">
        <v>30</v>
      </c>
      <c r="E18" t="s">
        <v>20</v>
      </c>
      <c r="F18">
        <v>210</v>
      </c>
      <c r="G18">
        <v>0</v>
      </c>
      <c r="H18">
        <f>Table1[[#This Row],[Quantity]]*Table1[[#This Row],[Unit Cost (₦)]]</f>
        <v>0</v>
      </c>
      <c r="I18">
        <v>0</v>
      </c>
      <c r="J18">
        <v>0</v>
      </c>
      <c r="K18">
        <v>0</v>
      </c>
      <c r="L18">
        <v>0</v>
      </c>
      <c r="M18">
        <v>0</v>
      </c>
      <c r="N18">
        <v>3000000</v>
      </c>
      <c r="O18">
        <v>0</v>
      </c>
      <c r="P18">
        <v>3000000</v>
      </c>
      <c r="Q18" t="s">
        <v>31</v>
      </c>
      <c r="R18" t="str">
        <f>TEXT(Table1[[#This Row],[Date]],"mmm")</f>
        <v>Feb</v>
      </c>
    </row>
    <row r="19" spans="1:18" x14ac:dyDescent="0.3">
      <c r="A19" s="1">
        <v>45787</v>
      </c>
      <c r="B19" t="s">
        <v>28</v>
      </c>
      <c r="C19" t="s">
        <v>29</v>
      </c>
      <c r="D19" t="s">
        <v>30</v>
      </c>
      <c r="E19" t="s">
        <v>20</v>
      </c>
      <c r="F19">
        <v>143</v>
      </c>
      <c r="G19">
        <v>0</v>
      </c>
      <c r="H19">
        <f>Table1[[#This Row],[Quantity]]*Table1[[#This Row],[Unit Cost (₦)]]</f>
        <v>0</v>
      </c>
      <c r="I19">
        <v>0</v>
      </c>
      <c r="J19">
        <v>0</v>
      </c>
      <c r="K19">
        <v>0</v>
      </c>
      <c r="L19">
        <v>0</v>
      </c>
      <c r="M19">
        <v>0</v>
      </c>
      <c r="N19">
        <v>3000000</v>
      </c>
      <c r="O19">
        <v>0</v>
      </c>
      <c r="P19">
        <v>3000000</v>
      </c>
      <c r="Q19" t="s">
        <v>31</v>
      </c>
      <c r="R19" t="str">
        <f>TEXT(Table1[[#This Row],[Date]],"mmm")</f>
        <v>May</v>
      </c>
    </row>
    <row r="20" spans="1:18" x14ac:dyDescent="0.3">
      <c r="A20" s="1">
        <v>45705</v>
      </c>
      <c r="B20" t="s">
        <v>28</v>
      </c>
      <c r="C20" t="s">
        <v>29</v>
      </c>
      <c r="D20" t="s">
        <v>30</v>
      </c>
      <c r="E20" t="s">
        <v>19</v>
      </c>
      <c r="F20">
        <v>246</v>
      </c>
      <c r="G20">
        <v>0</v>
      </c>
      <c r="H20">
        <f>Table1[[#This Row],[Quantity]]*Table1[[#This Row],[Unit Cost (₦)]]</f>
        <v>0</v>
      </c>
      <c r="I20">
        <v>0</v>
      </c>
      <c r="J20">
        <v>0</v>
      </c>
      <c r="K20">
        <v>0</v>
      </c>
      <c r="L20">
        <v>0</v>
      </c>
      <c r="M20">
        <v>0</v>
      </c>
      <c r="N20">
        <v>3000000</v>
      </c>
      <c r="O20">
        <v>0</v>
      </c>
      <c r="P20">
        <v>3000000</v>
      </c>
      <c r="Q20" t="s">
        <v>31</v>
      </c>
      <c r="R20" t="str">
        <f>TEXT(Table1[[#This Row],[Date]],"mmm")</f>
        <v>Feb</v>
      </c>
    </row>
    <row r="21" spans="1:18" x14ac:dyDescent="0.3">
      <c r="A21" s="1">
        <v>45720</v>
      </c>
      <c r="B21" t="s">
        <v>28</v>
      </c>
      <c r="C21" t="s">
        <v>29</v>
      </c>
      <c r="D21" t="s">
        <v>30</v>
      </c>
      <c r="E21" t="s">
        <v>20</v>
      </c>
      <c r="F21">
        <v>234</v>
      </c>
      <c r="G21">
        <v>0</v>
      </c>
      <c r="H21">
        <f>Table1[[#This Row],[Quantity]]*Table1[[#This Row],[Unit Cost (₦)]]</f>
        <v>0</v>
      </c>
      <c r="I21">
        <v>0</v>
      </c>
      <c r="J21">
        <v>0</v>
      </c>
      <c r="K21">
        <v>0</v>
      </c>
      <c r="L21">
        <v>0</v>
      </c>
      <c r="M21">
        <v>0</v>
      </c>
      <c r="N21">
        <v>3000000</v>
      </c>
      <c r="O21">
        <v>0</v>
      </c>
      <c r="P21">
        <v>3000000</v>
      </c>
      <c r="Q21" t="s">
        <v>31</v>
      </c>
      <c r="R21" t="str">
        <f>TEXT(Table1[[#This Row],[Date]],"mmm")</f>
        <v>Mar</v>
      </c>
    </row>
    <row r="22" spans="1:18" x14ac:dyDescent="0.3">
      <c r="A22" s="1">
        <v>45700</v>
      </c>
      <c r="B22" t="s">
        <v>32</v>
      </c>
      <c r="C22" t="s">
        <v>33</v>
      </c>
      <c r="D22" t="s">
        <v>34</v>
      </c>
      <c r="E22" t="s">
        <v>19</v>
      </c>
      <c r="F22">
        <v>124</v>
      </c>
      <c r="G22">
        <v>0</v>
      </c>
      <c r="H22">
        <f>Table1[[#This Row],[Quantity]]*Table1[[#This Row],[Unit Cost (₦)]]</f>
        <v>0</v>
      </c>
      <c r="I22">
        <v>0</v>
      </c>
      <c r="J22">
        <v>0</v>
      </c>
      <c r="K22">
        <v>0</v>
      </c>
      <c r="L22">
        <v>0</v>
      </c>
      <c r="M22">
        <v>0</v>
      </c>
      <c r="N22">
        <v>3000000</v>
      </c>
      <c r="O22">
        <v>0</v>
      </c>
      <c r="P22">
        <v>3000000</v>
      </c>
      <c r="Q22" t="s">
        <v>31</v>
      </c>
      <c r="R22" t="str">
        <f>TEXT(Table1[[#This Row],[Date]],"mmm")</f>
        <v>Feb</v>
      </c>
    </row>
    <row r="23" spans="1:18" x14ac:dyDescent="0.3">
      <c r="A23" s="1">
        <v>45705</v>
      </c>
      <c r="B23" t="s">
        <v>32</v>
      </c>
      <c r="C23" t="s">
        <v>33</v>
      </c>
      <c r="D23" t="s">
        <v>34</v>
      </c>
      <c r="E23" t="s">
        <v>19</v>
      </c>
      <c r="F23">
        <v>219</v>
      </c>
      <c r="G23">
        <v>0</v>
      </c>
      <c r="H23">
        <f>Table1[[#This Row],[Quantity]]*Table1[[#This Row],[Unit Cost (₦)]]</f>
        <v>0</v>
      </c>
      <c r="I23">
        <v>0</v>
      </c>
      <c r="J23">
        <v>0</v>
      </c>
      <c r="K23">
        <v>0</v>
      </c>
      <c r="L23">
        <v>0</v>
      </c>
      <c r="M23">
        <v>0</v>
      </c>
      <c r="N23">
        <v>3000000</v>
      </c>
      <c r="O23">
        <v>0</v>
      </c>
      <c r="P23">
        <v>3000000</v>
      </c>
      <c r="Q23" t="s">
        <v>31</v>
      </c>
      <c r="R23" t="str">
        <f>TEXT(Table1[[#This Row],[Date]],"mmm")</f>
        <v>Feb</v>
      </c>
    </row>
    <row r="24" spans="1:18" x14ac:dyDescent="0.3">
      <c r="A24" s="1">
        <v>45753</v>
      </c>
      <c r="B24" t="s">
        <v>32</v>
      </c>
      <c r="C24" t="s">
        <v>33</v>
      </c>
      <c r="D24" t="s">
        <v>34</v>
      </c>
      <c r="E24" t="s">
        <v>17</v>
      </c>
      <c r="F24">
        <v>355</v>
      </c>
      <c r="G24">
        <v>0</v>
      </c>
      <c r="H24">
        <f>Table1[[#This Row],[Quantity]]*Table1[[#This Row],[Unit Cost (₦)]]</f>
        <v>0</v>
      </c>
      <c r="I24">
        <v>0</v>
      </c>
      <c r="J24">
        <v>0</v>
      </c>
      <c r="K24">
        <v>0</v>
      </c>
      <c r="L24">
        <v>0</v>
      </c>
      <c r="M24">
        <v>0</v>
      </c>
      <c r="N24">
        <v>3000000</v>
      </c>
      <c r="O24">
        <v>0</v>
      </c>
      <c r="P24">
        <v>3000000</v>
      </c>
      <c r="Q24" t="s">
        <v>31</v>
      </c>
      <c r="R24" t="str">
        <f>TEXT(Table1[[#This Row],[Date]],"mmm")</f>
        <v>Apr</v>
      </c>
    </row>
    <row r="25" spans="1:18" x14ac:dyDescent="0.3">
      <c r="A25" s="1">
        <v>45706</v>
      </c>
      <c r="B25" t="s">
        <v>32</v>
      </c>
      <c r="C25" t="s">
        <v>33</v>
      </c>
      <c r="D25" t="s">
        <v>34</v>
      </c>
      <c r="E25" t="s">
        <v>17</v>
      </c>
      <c r="F25">
        <v>83</v>
      </c>
      <c r="G25">
        <v>0</v>
      </c>
      <c r="H25">
        <f>Table1[[#This Row],[Quantity]]*Table1[[#This Row],[Unit Cost (₦)]]</f>
        <v>0</v>
      </c>
      <c r="I25">
        <v>0</v>
      </c>
      <c r="J25">
        <v>0</v>
      </c>
      <c r="K25">
        <v>0</v>
      </c>
      <c r="L25">
        <v>0</v>
      </c>
      <c r="M25">
        <v>0</v>
      </c>
      <c r="N25">
        <v>3000000</v>
      </c>
      <c r="O25">
        <v>0</v>
      </c>
      <c r="P25">
        <v>3000000</v>
      </c>
      <c r="Q25" t="s">
        <v>31</v>
      </c>
      <c r="R25" t="str">
        <f>TEXT(Table1[[#This Row],[Date]],"mmm")</f>
        <v>Feb</v>
      </c>
    </row>
    <row r="26" spans="1:18" x14ac:dyDescent="0.3">
      <c r="A26" s="1">
        <v>45706</v>
      </c>
      <c r="B26" t="s">
        <v>32</v>
      </c>
      <c r="C26" t="s">
        <v>33</v>
      </c>
      <c r="D26" t="s">
        <v>34</v>
      </c>
      <c r="E26" t="s">
        <v>21</v>
      </c>
      <c r="F26">
        <v>469</v>
      </c>
      <c r="G26">
        <v>0</v>
      </c>
      <c r="H26">
        <f>Table1[[#This Row],[Quantity]]*Table1[[#This Row],[Unit Cost (₦)]]</f>
        <v>0</v>
      </c>
      <c r="I26">
        <v>0</v>
      </c>
      <c r="J26">
        <v>0</v>
      </c>
      <c r="K26">
        <v>0</v>
      </c>
      <c r="L26">
        <v>0</v>
      </c>
      <c r="M26">
        <v>0</v>
      </c>
      <c r="N26">
        <v>3000000</v>
      </c>
      <c r="O26">
        <v>0</v>
      </c>
      <c r="P26">
        <v>3000000</v>
      </c>
      <c r="Q26" t="s">
        <v>31</v>
      </c>
      <c r="R26" t="str">
        <f>TEXT(Table1[[#This Row],[Date]],"mmm")</f>
        <v>Feb</v>
      </c>
    </row>
    <row r="27" spans="1:18" x14ac:dyDescent="0.3">
      <c r="A27" s="1">
        <v>45707</v>
      </c>
      <c r="B27" t="s">
        <v>35</v>
      </c>
      <c r="C27" t="s">
        <v>36</v>
      </c>
      <c r="D27" t="s">
        <v>37</v>
      </c>
      <c r="E27" t="s">
        <v>20</v>
      </c>
      <c r="F27">
        <v>406</v>
      </c>
      <c r="G27">
        <v>0</v>
      </c>
      <c r="H27">
        <f>Table1[[#This Row],[Quantity]]*Table1[[#This Row],[Unit Cost (₦)]]</f>
        <v>0</v>
      </c>
      <c r="I27">
        <v>0</v>
      </c>
      <c r="J27">
        <v>0</v>
      </c>
      <c r="K27">
        <v>0</v>
      </c>
      <c r="L27">
        <v>0</v>
      </c>
      <c r="M27">
        <v>0</v>
      </c>
      <c r="N27">
        <v>1000000</v>
      </c>
      <c r="O27">
        <v>0</v>
      </c>
      <c r="P27">
        <v>1000000</v>
      </c>
      <c r="Q27" t="s">
        <v>31</v>
      </c>
      <c r="R27" t="str">
        <f>TEXT(Table1[[#This Row],[Date]],"mmm")</f>
        <v>Feb</v>
      </c>
    </row>
    <row r="28" spans="1:18" x14ac:dyDescent="0.3">
      <c r="A28" s="1">
        <v>45727</v>
      </c>
      <c r="B28" t="s">
        <v>35</v>
      </c>
      <c r="C28" t="s">
        <v>36</v>
      </c>
      <c r="D28" t="s">
        <v>37</v>
      </c>
      <c r="E28" t="s">
        <v>20</v>
      </c>
      <c r="F28">
        <v>296</v>
      </c>
      <c r="G28">
        <v>0</v>
      </c>
      <c r="H28">
        <f>Table1[[#This Row],[Quantity]]*Table1[[#This Row],[Unit Cost (₦)]]</f>
        <v>0</v>
      </c>
      <c r="I28">
        <v>0</v>
      </c>
      <c r="J28">
        <v>0</v>
      </c>
      <c r="K28">
        <v>0</v>
      </c>
      <c r="L28">
        <v>0</v>
      </c>
      <c r="M28">
        <v>0</v>
      </c>
      <c r="N28">
        <v>1000000</v>
      </c>
      <c r="O28">
        <v>0</v>
      </c>
      <c r="P28">
        <v>1000000</v>
      </c>
      <c r="Q28" t="s">
        <v>31</v>
      </c>
      <c r="R28" t="str">
        <f>TEXT(Table1[[#This Row],[Date]],"mmm")</f>
        <v>Mar</v>
      </c>
    </row>
    <row r="29" spans="1:18" x14ac:dyDescent="0.3">
      <c r="A29" s="1">
        <v>45699</v>
      </c>
      <c r="B29" t="s">
        <v>35</v>
      </c>
      <c r="C29" t="s">
        <v>36</v>
      </c>
      <c r="D29" t="s">
        <v>37</v>
      </c>
      <c r="E29" t="s">
        <v>19</v>
      </c>
      <c r="F29">
        <v>79</v>
      </c>
      <c r="G29">
        <v>0</v>
      </c>
      <c r="H29">
        <f>Table1[[#This Row],[Quantity]]*Table1[[#This Row],[Unit Cost (₦)]]</f>
        <v>0</v>
      </c>
      <c r="I29">
        <v>0</v>
      </c>
      <c r="J29">
        <v>0</v>
      </c>
      <c r="K29">
        <v>0</v>
      </c>
      <c r="L29">
        <v>0</v>
      </c>
      <c r="M29">
        <v>0</v>
      </c>
      <c r="N29">
        <v>1000000</v>
      </c>
      <c r="O29">
        <v>0</v>
      </c>
      <c r="P29">
        <v>1000000</v>
      </c>
      <c r="Q29" t="s">
        <v>31</v>
      </c>
      <c r="R29" t="str">
        <f>TEXT(Table1[[#This Row],[Date]],"mmm")</f>
        <v>Feb</v>
      </c>
    </row>
    <row r="30" spans="1:18" x14ac:dyDescent="0.3">
      <c r="A30" s="1">
        <v>45712</v>
      </c>
      <c r="B30" t="s">
        <v>35</v>
      </c>
      <c r="C30" t="s">
        <v>36</v>
      </c>
      <c r="D30" t="s">
        <v>37</v>
      </c>
      <c r="E30" t="s">
        <v>21</v>
      </c>
      <c r="F30">
        <v>433</v>
      </c>
      <c r="G30">
        <v>0</v>
      </c>
      <c r="H30">
        <f>Table1[[#This Row],[Quantity]]*Table1[[#This Row],[Unit Cost (₦)]]</f>
        <v>0</v>
      </c>
      <c r="I30">
        <v>0</v>
      </c>
      <c r="J30">
        <v>0</v>
      </c>
      <c r="K30">
        <v>0</v>
      </c>
      <c r="L30">
        <v>0</v>
      </c>
      <c r="M30">
        <v>0</v>
      </c>
      <c r="N30">
        <v>1000000</v>
      </c>
      <c r="O30">
        <v>0</v>
      </c>
      <c r="P30">
        <v>1000000</v>
      </c>
      <c r="Q30" t="s">
        <v>31</v>
      </c>
      <c r="R30" t="str">
        <f>TEXT(Table1[[#This Row],[Date]],"mmm")</f>
        <v>Feb</v>
      </c>
    </row>
    <row r="31" spans="1:18" x14ac:dyDescent="0.3">
      <c r="A31" s="1">
        <v>45737</v>
      </c>
      <c r="B31" t="s">
        <v>35</v>
      </c>
      <c r="C31" t="s">
        <v>36</v>
      </c>
      <c r="D31" t="s">
        <v>37</v>
      </c>
      <c r="E31" t="s">
        <v>21</v>
      </c>
      <c r="F31">
        <v>59</v>
      </c>
      <c r="G31">
        <v>0</v>
      </c>
      <c r="H31">
        <f>Table1[[#This Row],[Quantity]]*Table1[[#This Row],[Unit Cost (₦)]]</f>
        <v>0</v>
      </c>
      <c r="I31">
        <v>0</v>
      </c>
      <c r="J31">
        <v>0</v>
      </c>
      <c r="K31">
        <v>0</v>
      </c>
      <c r="L31">
        <v>0</v>
      </c>
      <c r="M31">
        <v>0</v>
      </c>
      <c r="N31">
        <v>1000000</v>
      </c>
      <c r="O31">
        <v>0</v>
      </c>
      <c r="P31">
        <v>1000000</v>
      </c>
      <c r="Q31" t="s">
        <v>31</v>
      </c>
      <c r="R31" t="str">
        <f>TEXT(Table1[[#This Row],[Date]],"mmm")</f>
        <v>Mar</v>
      </c>
    </row>
    <row r="32" spans="1:18" x14ac:dyDescent="0.3">
      <c r="A32" s="1">
        <v>45715</v>
      </c>
      <c r="B32" t="s">
        <v>38</v>
      </c>
      <c r="C32" t="s">
        <v>39</v>
      </c>
      <c r="D32" t="s">
        <v>40</v>
      </c>
      <c r="E32" t="s">
        <v>19</v>
      </c>
      <c r="F32">
        <v>237</v>
      </c>
      <c r="G32">
        <v>0</v>
      </c>
      <c r="H32">
        <f>Table1[[#This Row],[Quantity]]*Table1[[#This Row],[Unit Cost (₦)]]</f>
        <v>0</v>
      </c>
      <c r="I32">
        <v>0</v>
      </c>
      <c r="J32">
        <v>0</v>
      </c>
      <c r="K32">
        <v>0</v>
      </c>
      <c r="L32">
        <v>0</v>
      </c>
      <c r="M32">
        <v>0</v>
      </c>
      <c r="N32">
        <v>1400000</v>
      </c>
      <c r="O32">
        <v>0</v>
      </c>
      <c r="P32">
        <v>1400000</v>
      </c>
      <c r="Q32" t="s">
        <v>31</v>
      </c>
      <c r="R32" t="str">
        <f>TEXT(Table1[[#This Row],[Date]],"mmm")</f>
        <v>Feb</v>
      </c>
    </row>
    <row r="33" spans="1:18" x14ac:dyDescent="0.3">
      <c r="A33" s="1">
        <v>45672</v>
      </c>
      <c r="B33" t="s">
        <v>38</v>
      </c>
      <c r="C33" t="s">
        <v>39</v>
      </c>
      <c r="D33" t="s">
        <v>40</v>
      </c>
      <c r="E33" t="s">
        <v>20</v>
      </c>
      <c r="F33">
        <v>281</v>
      </c>
      <c r="G33">
        <v>0</v>
      </c>
      <c r="H33">
        <f>Table1[[#This Row],[Quantity]]*Table1[[#This Row],[Unit Cost (₦)]]</f>
        <v>0</v>
      </c>
      <c r="I33">
        <v>0</v>
      </c>
      <c r="J33">
        <v>0</v>
      </c>
      <c r="K33">
        <v>0</v>
      </c>
      <c r="L33">
        <v>0</v>
      </c>
      <c r="M33">
        <v>0</v>
      </c>
      <c r="N33">
        <v>1400000</v>
      </c>
      <c r="O33">
        <v>0</v>
      </c>
      <c r="P33">
        <v>1400000</v>
      </c>
      <c r="Q33" t="s">
        <v>31</v>
      </c>
      <c r="R33" t="str">
        <f>TEXT(Table1[[#This Row],[Date]],"mmm")</f>
        <v>Jan</v>
      </c>
    </row>
    <row r="34" spans="1:18" x14ac:dyDescent="0.3">
      <c r="A34" s="1">
        <v>45692</v>
      </c>
      <c r="B34" t="s">
        <v>38</v>
      </c>
      <c r="C34" t="s">
        <v>39</v>
      </c>
      <c r="D34" t="s">
        <v>40</v>
      </c>
      <c r="E34" t="s">
        <v>19</v>
      </c>
      <c r="F34">
        <v>369</v>
      </c>
      <c r="G34">
        <v>0</v>
      </c>
      <c r="H34">
        <f>Table1[[#This Row],[Quantity]]*Table1[[#This Row],[Unit Cost (₦)]]</f>
        <v>0</v>
      </c>
      <c r="I34">
        <v>0</v>
      </c>
      <c r="J34">
        <v>0</v>
      </c>
      <c r="K34">
        <v>0</v>
      </c>
      <c r="L34">
        <v>0</v>
      </c>
      <c r="M34">
        <v>0</v>
      </c>
      <c r="N34">
        <v>1400000</v>
      </c>
      <c r="O34">
        <v>0</v>
      </c>
      <c r="P34">
        <v>1400000</v>
      </c>
      <c r="Q34" t="s">
        <v>31</v>
      </c>
      <c r="R34" t="str">
        <f>TEXT(Table1[[#This Row],[Date]],"mmm")</f>
        <v>Feb</v>
      </c>
    </row>
    <row r="35" spans="1:18" x14ac:dyDescent="0.3">
      <c r="A35" s="1">
        <v>45698</v>
      </c>
      <c r="B35" t="s">
        <v>38</v>
      </c>
      <c r="C35" t="s">
        <v>39</v>
      </c>
      <c r="D35" t="s">
        <v>40</v>
      </c>
      <c r="E35" t="s">
        <v>21</v>
      </c>
      <c r="F35">
        <v>436</v>
      </c>
      <c r="G35">
        <v>0</v>
      </c>
      <c r="H35">
        <f>Table1[[#This Row],[Quantity]]*Table1[[#This Row],[Unit Cost (₦)]]</f>
        <v>0</v>
      </c>
      <c r="I35">
        <v>0</v>
      </c>
      <c r="J35">
        <v>0</v>
      </c>
      <c r="K35">
        <v>0</v>
      </c>
      <c r="L35">
        <v>0</v>
      </c>
      <c r="M35">
        <v>0</v>
      </c>
      <c r="N35">
        <v>1400000</v>
      </c>
      <c r="O35">
        <v>0</v>
      </c>
      <c r="P35">
        <v>1400000</v>
      </c>
      <c r="Q35" t="s">
        <v>31</v>
      </c>
      <c r="R35" t="str">
        <f>TEXT(Table1[[#This Row],[Date]],"mmm")</f>
        <v>Feb</v>
      </c>
    </row>
    <row r="36" spans="1:18" x14ac:dyDescent="0.3">
      <c r="A36" s="1">
        <v>45732</v>
      </c>
      <c r="B36" t="s">
        <v>38</v>
      </c>
      <c r="C36" t="s">
        <v>39</v>
      </c>
      <c r="D36" t="s">
        <v>40</v>
      </c>
      <c r="E36" t="s">
        <v>17</v>
      </c>
      <c r="F36">
        <v>226</v>
      </c>
      <c r="G36">
        <v>0</v>
      </c>
      <c r="H36">
        <f>Table1[[#This Row],[Quantity]]*Table1[[#This Row],[Unit Cost (₦)]]</f>
        <v>0</v>
      </c>
      <c r="I36">
        <v>0</v>
      </c>
      <c r="J36">
        <v>0</v>
      </c>
      <c r="K36">
        <v>0</v>
      </c>
      <c r="L36">
        <v>0</v>
      </c>
      <c r="M36">
        <v>0</v>
      </c>
      <c r="N36">
        <v>1400000</v>
      </c>
      <c r="O36">
        <v>0</v>
      </c>
      <c r="P36">
        <v>1400000</v>
      </c>
      <c r="Q36" t="s">
        <v>31</v>
      </c>
      <c r="R36" t="str">
        <f>TEXT(Table1[[#This Row],[Date]],"mmm")</f>
        <v>Mar</v>
      </c>
    </row>
    <row r="37" spans="1:18" x14ac:dyDescent="0.3">
      <c r="A37" s="1">
        <v>45699</v>
      </c>
      <c r="B37" t="s">
        <v>41</v>
      </c>
      <c r="C37" t="s">
        <v>42</v>
      </c>
      <c r="D37" t="s">
        <v>43</v>
      </c>
      <c r="E37" t="s">
        <v>21</v>
      </c>
      <c r="F37">
        <v>318</v>
      </c>
      <c r="G37">
        <v>0</v>
      </c>
      <c r="H37">
        <f>Table1[[#This Row],[Quantity]]*Table1[[#This Row],[Unit Cost (₦)]]</f>
        <v>0</v>
      </c>
      <c r="I37">
        <v>0</v>
      </c>
      <c r="J37">
        <v>0</v>
      </c>
      <c r="K37">
        <v>0</v>
      </c>
      <c r="L37">
        <v>0</v>
      </c>
      <c r="M37">
        <v>0</v>
      </c>
      <c r="N37">
        <v>1600000</v>
      </c>
      <c r="O37">
        <v>0</v>
      </c>
      <c r="P37">
        <v>1600000</v>
      </c>
      <c r="Q37" t="s">
        <v>31</v>
      </c>
      <c r="R37" t="str">
        <f>TEXT(Table1[[#This Row],[Date]],"mmm")</f>
        <v>Feb</v>
      </c>
    </row>
    <row r="38" spans="1:18" x14ac:dyDescent="0.3">
      <c r="A38" s="1">
        <v>45742</v>
      </c>
      <c r="B38" t="s">
        <v>41</v>
      </c>
      <c r="C38" t="s">
        <v>42</v>
      </c>
      <c r="D38" t="s">
        <v>43</v>
      </c>
      <c r="E38" t="s">
        <v>17</v>
      </c>
      <c r="F38">
        <v>105</v>
      </c>
      <c r="G38">
        <v>0</v>
      </c>
      <c r="H38">
        <f>Table1[[#This Row],[Quantity]]*Table1[[#This Row],[Unit Cost (₦)]]</f>
        <v>0</v>
      </c>
      <c r="I38">
        <v>0</v>
      </c>
      <c r="J38">
        <v>0</v>
      </c>
      <c r="K38">
        <v>0</v>
      </c>
      <c r="L38">
        <v>0</v>
      </c>
      <c r="M38">
        <v>0</v>
      </c>
      <c r="N38">
        <v>1600000</v>
      </c>
      <c r="O38">
        <v>0</v>
      </c>
      <c r="P38">
        <v>1600000</v>
      </c>
      <c r="Q38" t="s">
        <v>31</v>
      </c>
      <c r="R38" t="str">
        <f>TEXT(Table1[[#This Row],[Date]],"mmm")</f>
        <v>Mar</v>
      </c>
    </row>
    <row r="39" spans="1:18" x14ac:dyDescent="0.3">
      <c r="A39" s="1">
        <v>45704</v>
      </c>
      <c r="B39" t="s">
        <v>41</v>
      </c>
      <c r="C39" t="s">
        <v>42</v>
      </c>
      <c r="D39" t="s">
        <v>43</v>
      </c>
      <c r="E39" t="s">
        <v>19</v>
      </c>
      <c r="F39">
        <v>490</v>
      </c>
      <c r="G39">
        <v>0</v>
      </c>
      <c r="H39">
        <f>Table1[[#This Row],[Quantity]]*Table1[[#This Row],[Unit Cost (₦)]]</f>
        <v>0</v>
      </c>
      <c r="I39">
        <v>0</v>
      </c>
      <c r="J39">
        <v>0</v>
      </c>
      <c r="K39">
        <v>0</v>
      </c>
      <c r="L39">
        <v>0</v>
      </c>
      <c r="M39">
        <v>0</v>
      </c>
      <c r="N39">
        <v>1600000</v>
      </c>
      <c r="O39">
        <v>0</v>
      </c>
      <c r="P39">
        <v>1600000</v>
      </c>
      <c r="Q39" t="s">
        <v>31</v>
      </c>
      <c r="R39" t="str">
        <f>TEXT(Table1[[#This Row],[Date]],"mmm")</f>
        <v>Feb</v>
      </c>
    </row>
    <row r="40" spans="1:18" x14ac:dyDescent="0.3">
      <c r="A40" s="1">
        <v>45678</v>
      </c>
      <c r="B40" t="s">
        <v>41</v>
      </c>
      <c r="C40" t="s">
        <v>42</v>
      </c>
      <c r="D40" t="s">
        <v>43</v>
      </c>
      <c r="E40" t="s">
        <v>20</v>
      </c>
      <c r="F40">
        <v>271</v>
      </c>
      <c r="G40">
        <v>0</v>
      </c>
      <c r="H40">
        <f>Table1[[#This Row],[Quantity]]*Table1[[#This Row],[Unit Cost (₦)]]</f>
        <v>0</v>
      </c>
      <c r="I40">
        <v>0</v>
      </c>
      <c r="J40">
        <v>0</v>
      </c>
      <c r="K40">
        <v>0</v>
      </c>
      <c r="L40">
        <v>0</v>
      </c>
      <c r="M40">
        <v>0</v>
      </c>
      <c r="N40">
        <v>1600000</v>
      </c>
      <c r="O40">
        <v>0</v>
      </c>
      <c r="P40">
        <v>1600000</v>
      </c>
      <c r="Q40" t="s">
        <v>31</v>
      </c>
      <c r="R40" t="str">
        <f>TEXT(Table1[[#This Row],[Date]],"mmm")</f>
        <v>Jan</v>
      </c>
    </row>
    <row r="41" spans="1:18" x14ac:dyDescent="0.3">
      <c r="A41" s="1">
        <v>45732</v>
      </c>
      <c r="B41" t="s">
        <v>41</v>
      </c>
      <c r="C41" t="s">
        <v>42</v>
      </c>
      <c r="D41" t="s">
        <v>43</v>
      </c>
      <c r="E41" t="s">
        <v>17</v>
      </c>
      <c r="F41">
        <v>224</v>
      </c>
      <c r="G41">
        <v>0</v>
      </c>
      <c r="H41">
        <f>Table1[[#This Row],[Quantity]]*Table1[[#This Row],[Unit Cost (₦)]]</f>
        <v>0</v>
      </c>
      <c r="I41">
        <v>0</v>
      </c>
      <c r="J41">
        <v>0</v>
      </c>
      <c r="K41">
        <v>0</v>
      </c>
      <c r="L41">
        <v>0</v>
      </c>
      <c r="M41">
        <v>0</v>
      </c>
      <c r="N41">
        <v>1600000</v>
      </c>
      <c r="O41">
        <v>0</v>
      </c>
      <c r="P41">
        <v>1600000</v>
      </c>
      <c r="Q41" t="s">
        <v>31</v>
      </c>
      <c r="R41" t="str">
        <f>TEXT(Table1[[#This Row],[Date]],"mmm")</f>
        <v>Mar</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0F6C-8EB3-4A32-8E75-DB03B16C7AD9}">
  <dimension ref="A1:E7"/>
  <sheetViews>
    <sheetView workbookViewId="0">
      <selection sqref="A1:E7"/>
    </sheetView>
  </sheetViews>
  <sheetFormatPr defaultRowHeight="14.4" x14ac:dyDescent="0.3"/>
  <cols>
    <col min="1" max="1" width="14.5546875" customWidth="1"/>
    <col min="2" max="2" width="15.109375" customWidth="1"/>
    <col min="3" max="3" width="16.44140625" customWidth="1"/>
    <col min="4" max="4" width="19.109375" bestFit="1" customWidth="1"/>
    <col min="5" max="5" width="13" bestFit="1" customWidth="1"/>
  </cols>
  <sheetData>
    <row r="1" spans="1:5" x14ac:dyDescent="0.3">
      <c r="A1" t="s">
        <v>63</v>
      </c>
      <c r="B1" t="s">
        <v>70</v>
      </c>
      <c r="C1" t="s">
        <v>71</v>
      </c>
      <c r="D1" t="s">
        <v>72</v>
      </c>
      <c r="E1" t="s">
        <v>84</v>
      </c>
    </row>
    <row r="2" spans="1:5" hidden="1" x14ac:dyDescent="0.3">
      <c r="A2" t="s">
        <v>64</v>
      </c>
      <c r="B2" s="7">
        <v>38497503</v>
      </c>
      <c r="C2" s="8">
        <f>(Table2[[#This Row],[Amount Spent]]/B7)</f>
        <v>0.5499839472845196</v>
      </c>
      <c r="D2" t="s">
        <v>73</v>
      </c>
      <c r="E2" t="s">
        <v>79</v>
      </c>
    </row>
    <row r="3" spans="1:5" hidden="1" x14ac:dyDescent="0.3">
      <c r="A3" t="s">
        <v>65</v>
      </c>
      <c r="B3" s="7">
        <v>17500000</v>
      </c>
      <c r="C3" s="8">
        <f>(Table2[[#This Row],[Amount Spent]]/B7)</f>
        <v>0.25000891817526694</v>
      </c>
      <c r="D3" t="s">
        <v>74</v>
      </c>
      <c r="E3" t="s">
        <v>80</v>
      </c>
    </row>
    <row r="4" spans="1:5" hidden="1" x14ac:dyDescent="0.3">
      <c r="A4" t="s">
        <v>66</v>
      </c>
      <c r="B4" s="7">
        <v>7000000</v>
      </c>
      <c r="C4" s="8">
        <f>(Table2[[#This Row],[Amount Spent]]/B7)</f>
        <v>0.10000356727010676</v>
      </c>
      <c r="D4" t="s">
        <v>76</v>
      </c>
      <c r="E4" t="s">
        <v>81</v>
      </c>
    </row>
    <row r="5" spans="1:5" hidden="1" x14ac:dyDescent="0.3">
      <c r="A5" t="s">
        <v>67</v>
      </c>
      <c r="B5" s="7">
        <v>4900000</v>
      </c>
      <c r="C5" s="8">
        <f>(Table2[[#This Row],[Amount Spent]]/B7)</f>
        <v>7.0002497089074731E-2</v>
      </c>
      <c r="D5" t="s">
        <v>75</v>
      </c>
      <c r="E5" t="s">
        <v>82</v>
      </c>
    </row>
    <row r="6" spans="1:5" x14ac:dyDescent="0.3">
      <c r="A6" t="s">
        <v>68</v>
      </c>
      <c r="B6" s="7">
        <v>2100000</v>
      </c>
      <c r="C6" s="8">
        <f>(Table2[[#This Row],[Amount Spent]]/B7)</f>
        <v>3.0001070181032027E-2</v>
      </c>
      <c r="D6" t="s">
        <v>77</v>
      </c>
      <c r="E6" t="s">
        <v>83</v>
      </c>
    </row>
    <row r="7" spans="1:5" hidden="1" x14ac:dyDescent="0.3">
      <c r="A7" t="s">
        <v>69</v>
      </c>
      <c r="B7" s="7">
        <f>SUM(B2:B6)</f>
        <v>69997503</v>
      </c>
      <c r="C7" s="8">
        <f>SUM(C2:C6)</f>
        <v>1</v>
      </c>
      <c r="D7"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CBF2-35E0-4026-81F0-16789CF57B07}">
  <dimension ref="A1:I32"/>
  <sheetViews>
    <sheetView zoomScale="76" workbookViewId="0">
      <selection sqref="A1:B10"/>
    </sheetView>
  </sheetViews>
  <sheetFormatPr defaultRowHeight="14.4" x14ac:dyDescent="0.3"/>
  <cols>
    <col min="1" max="1" width="34.33203125" bestFit="1" customWidth="1"/>
    <col min="2" max="3" width="21.109375" bestFit="1" customWidth="1"/>
    <col min="4" max="4" width="18.5546875" bestFit="1" customWidth="1"/>
    <col min="5" max="5" width="23.33203125" bestFit="1" customWidth="1"/>
    <col min="6" max="6" width="24.6640625" bestFit="1" customWidth="1"/>
    <col min="7" max="7" width="18.21875" bestFit="1" customWidth="1"/>
    <col min="8" max="8" width="18.5546875" bestFit="1" customWidth="1"/>
    <col min="9" max="9" width="21.109375" bestFit="1" customWidth="1"/>
    <col min="10" max="10" width="20.21875" bestFit="1" customWidth="1"/>
  </cols>
  <sheetData>
    <row r="1" spans="1:9" x14ac:dyDescent="0.3">
      <c r="A1" s="2" t="s">
        <v>44</v>
      </c>
      <c r="B1" s="5" t="s">
        <v>60</v>
      </c>
      <c r="D1" s="2" t="s">
        <v>45</v>
      </c>
      <c r="E1" t="s">
        <v>48</v>
      </c>
      <c r="F1" s="6" t="s">
        <v>58</v>
      </c>
      <c r="H1" s="2" t="s">
        <v>1</v>
      </c>
      <c r="I1" s="5" t="s">
        <v>60</v>
      </c>
    </row>
    <row r="2" spans="1:9" x14ac:dyDescent="0.3">
      <c r="A2" s="3" t="s">
        <v>26</v>
      </c>
      <c r="B2" s="5">
        <v>9500000</v>
      </c>
      <c r="D2" s="3" t="s">
        <v>20</v>
      </c>
      <c r="E2" s="5">
        <v>33000000</v>
      </c>
      <c r="F2" s="6">
        <v>0.47142857142857142</v>
      </c>
      <c r="H2" s="3" t="s">
        <v>25</v>
      </c>
      <c r="I2" s="5">
        <v>9500000</v>
      </c>
    </row>
    <row r="3" spans="1:9" x14ac:dyDescent="0.3">
      <c r="A3" s="3" t="s">
        <v>23</v>
      </c>
      <c r="B3" s="5">
        <v>6250000</v>
      </c>
      <c r="D3" s="3" t="s">
        <v>21</v>
      </c>
      <c r="E3" s="5">
        <v>19000000</v>
      </c>
      <c r="F3" s="6">
        <v>0.27142857142857141</v>
      </c>
      <c r="H3" s="3" t="s">
        <v>22</v>
      </c>
      <c r="I3" s="5">
        <v>6250000</v>
      </c>
    </row>
    <row r="4" spans="1:9" x14ac:dyDescent="0.3">
      <c r="A4" s="3" t="s">
        <v>15</v>
      </c>
      <c r="B4" s="5">
        <v>1750000</v>
      </c>
      <c r="D4" s="3" t="s">
        <v>19</v>
      </c>
      <c r="E4" s="5">
        <v>16600000</v>
      </c>
      <c r="F4" s="6">
        <v>0.23714285714285716</v>
      </c>
      <c r="H4" s="3" t="s">
        <v>14</v>
      </c>
      <c r="I4" s="5">
        <v>1750000</v>
      </c>
    </row>
    <row r="5" spans="1:9" x14ac:dyDescent="0.3">
      <c r="A5" s="3" t="s">
        <v>33</v>
      </c>
      <c r="B5" s="5">
        <v>0</v>
      </c>
      <c r="D5" s="3" t="s">
        <v>17</v>
      </c>
      <c r="E5" s="5">
        <v>1400000</v>
      </c>
      <c r="F5" s="6">
        <v>0.02</v>
      </c>
      <c r="H5" s="3" t="s">
        <v>41</v>
      </c>
      <c r="I5" s="5">
        <v>0</v>
      </c>
    </row>
    <row r="6" spans="1:9" x14ac:dyDescent="0.3">
      <c r="A6" s="3" t="s">
        <v>29</v>
      </c>
      <c r="B6" s="5">
        <v>0</v>
      </c>
      <c r="D6" s="3" t="s">
        <v>47</v>
      </c>
      <c r="E6" s="5">
        <v>70000000</v>
      </c>
      <c r="F6" s="6">
        <v>1</v>
      </c>
      <c r="H6" s="3" t="s">
        <v>28</v>
      </c>
      <c r="I6" s="5">
        <v>0</v>
      </c>
    </row>
    <row r="7" spans="1:9" x14ac:dyDescent="0.3">
      <c r="A7" s="3" t="s">
        <v>39</v>
      </c>
      <c r="B7" s="5">
        <v>0</v>
      </c>
      <c r="H7" s="3" t="s">
        <v>38</v>
      </c>
      <c r="I7" s="5">
        <v>0</v>
      </c>
    </row>
    <row r="8" spans="1:9" x14ac:dyDescent="0.3">
      <c r="A8" s="3" t="s">
        <v>42</v>
      </c>
      <c r="B8" s="5">
        <v>0</v>
      </c>
      <c r="D8" s="2" t="s">
        <v>46</v>
      </c>
      <c r="E8" t="s">
        <v>48</v>
      </c>
      <c r="F8" s="6" t="s">
        <v>59</v>
      </c>
      <c r="H8" s="3" t="s">
        <v>32</v>
      </c>
      <c r="I8" s="5">
        <v>0</v>
      </c>
    </row>
    <row r="9" spans="1:9" x14ac:dyDescent="0.3">
      <c r="A9" s="3" t="s">
        <v>36</v>
      </c>
      <c r="B9" s="5">
        <v>0</v>
      </c>
      <c r="D9" s="3" t="s">
        <v>55</v>
      </c>
      <c r="E9" s="5">
        <v>21600000</v>
      </c>
      <c r="F9" s="6">
        <v>0.30857142857142855</v>
      </c>
      <c r="H9" s="3" t="s">
        <v>35</v>
      </c>
      <c r="I9" s="5">
        <v>0</v>
      </c>
    </row>
    <row r="10" spans="1:9" x14ac:dyDescent="0.3">
      <c r="A10" s="3" t="s">
        <v>47</v>
      </c>
      <c r="B10" s="5">
        <v>17500000</v>
      </c>
      <c r="D10" s="3" t="s">
        <v>54</v>
      </c>
      <c r="E10" s="5">
        <v>20400000</v>
      </c>
      <c r="F10" s="6">
        <v>0.29142857142857143</v>
      </c>
      <c r="H10" s="3" t="s">
        <v>47</v>
      </c>
      <c r="I10" s="5">
        <v>17500000</v>
      </c>
    </row>
    <row r="11" spans="1:9" x14ac:dyDescent="0.3">
      <c r="D11" s="3" t="s">
        <v>53</v>
      </c>
      <c r="E11" s="5">
        <v>19000000</v>
      </c>
      <c r="F11" s="6">
        <v>0.27142857142857141</v>
      </c>
    </row>
    <row r="12" spans="1:9" x14ac:dyDescent="0.3">
      <c r="A12" s="2" t="s">
        <v>2</v>
      </c>
      <c r="B12" s="5" t="s">
        <v>51</v>
      </c>
      <c r="D12" s="3" t="s">
        <v>56</v>
      </c>
      <c r="E12" s="5">
        <v>9000000</v>
      </c>
      <c r="F12" s="6">
        <v>0.12857142857142856</v>
      </c>
      <c r="H12" s="3" t="s">
        <v>61</v>
      </c>
      <c r="I12">
        <f>(SUM(Table1[Labour Cost (₦)])/SUM(Table1[Actual Cost (₦)]))*100</f>
        <v>25</v>
      </c>
    </row>
    <row r="13" spans="1:9" x14ac:dyDescent="0.3">
      <c r="A13" s="3" t="s">
        <v>37</v>
      </c>
      <c r="B13" s="5">
        <v>0</v>
      </c>
      <c r="D13" s="3" t="s">
        <v>57</v>
      </c>
      <c r="E13" s="5">
        <v>0</v>
      </c>
      <c r="F13" s="6">
        <v>0</v>
      </c>
    </row>
    <row r="14" spans="1:9" x14ac:dyDescent="0.3">
      <c r="A14" s="3" t="s">
        <v>34</v>
      </c>
      <c r="B14" s="5">
        <v>0</v>
      </c>
      <c r="D14" s="3" t="s">
        <v>47</v>
      </c>
      <c r="E14" s="5">
        <v>70000000</v>
      </c>
      <c r="F14" s="6">
        <v>1</v>
      </c>
      <c r="H14" s="5" t="e" vm="1">
        <v>#VALUE!</v>
      </c>
    </row>
    <row r="15" spans="1:9" x14ac:dyDescent="0.3">
      <c r="A15" s="3" t="s">
        <v>43</v>
      </c>
      <c r="B15" s="5">
        <v>0</v>
      </c>
    </row>
    <row r="16" spans="1:9" x14ac:dyDescent="0.3">
      <c r="A16" s="3" t="s">
        <v>40</v>
      </c>
      <c r="B16" s="5">
        <v>0</v>
      </c>
      <c r="D16" s="2" t="s">
        <v>1</v>
      </c>
      <c r="E16" t="s">
        <v>50</v>
      </c>
      <c r="F16" t="s">
        <v>49</v>
      </c>
      <c r="G16" t="s">
        <v>89</v>
      </c>
    </row>
    <row r="17" spans="1:9" x14ac:dyDescent="0.3">
      <c r="A17" s="3" t="s">
        <v>30</v>
      </c>
      <c r="B17" s="5">
        <v>0</v>
      </c>
      <c r="D17" s="3" t="s">
        <v>25</v>
      </c>
      <c r="E17" s="5">
        <v>38000000</v>
      </c>
      <c r="F17" s="5">
        <v>25000000</v>
      </c>
      <c r="G17" s="5">
        <v>-13000000</v>
      </c>
    </row>
    <row r="18" spans="1:9" x14ac:dyDescent="0.3">
      <c r="A18" s="3" t="s">
        <v>16</v>
      </c>
      <c r="B18" s="5">
        <v>7000000</v>
      </c>
      <c r="D18" s="3" t="s">
        <v>22</v>
      </c>
      <c r="E18" s="5">
        <v>25000000</v>
      </c>
      <c r="F18" s="5">
        <v>20000000</v>
      </c>
      <c r="G18" s="5">
        <v>-5000000</v>
      </c>
    </row>
    <row r="19" spans="1:9" x14ac:dyDescent="0.3">
      <c r="A19" s="3" t="s">
        <v>24</v>
      </c>
      <c r="B19" s="5">
        <v>25000000</v>
      </c>
      <c r="D19" s="3" t="s">
        <v>14</v>
      </c>
      <c r="E19" s="5">
        <v>7000000</v>
      </c>
      <c r="F19" s="5">
        <v>5000000</v>
      </c>
      <c r="G19" s="5">
        <v>-2000000</v>
      </c>
    </row>
    <row r="20" spans="1:9" x14ac:dyDescent="0.3">
      <c r="A20" s="3" t="s">
        <v>27</v>
      </c>
      <c r="B20" s="5">
        <v>38000000</v>
      </c>
      <c r="D20" s="3" t="s">
        <v>41</v>
      </c>
      <c r="E20" s="5">
        <v>0</v>
      </c>
      <c r="F20" s="5">
        <v>8000000</v>
      </c>
      <c r="G20" s="5">
        <v>8000000</v>
      </c>
    </row>
    <row r="21" spans="1:9" x14ac:dyDescent="0.3">
      <c r="A21" s="3" t="s">
        <v>47</v>
      </c>
      <c r="B21" s="5">
        <v>70000000</v>
      </c>
      <c r="D21" s="3" t="s">
        <v>28</v>
      </c>
      <c r="E21" s="5">
        <v>0</v>
      </c>
      <c r="F21" s="5">
        <v>15000000</v>
      </c>
      <c r="G21" s="5">
        <v>15000000</v>
      </c>
    </row>
    <row r="22" spans="1:9" x14ac:dyDescent="0.3">
      <c r="D22" s="3" t="s">
        <v>38</v>
      </c>
      <c r="E22" s="5">
        <v>0</v>
      </c>
      <c r="F22" s="5">
        <v>7000000</v>
      </c>
      <c r="G22" s="5">
        <v>7000000</v>
      </c>
      <c r="H22" s="3" t="s">
        <v>85</v>
      </c>
      <c r="I22" t="s">
        <v>86</v>
      </c>
    </row>
    <row r="23" spans="1:9" x14ac:dyDescent="0.3">
      <c r="A23" s="4" t="s">
        <v>44</v>
      </c>
      <c r="B23" s="4" t="s">
        <v>50</v>
      </c>
      <c r="D23" s="3" t="s">
        <v>32</v>
      </c>
      <c r="E23" s="5">
        <v>0</v>
      </c>
      <c r="F23" s="5">
        <v>15000000</v>
      </c>
      <c r="G23" s="5">
        <v>15000000</v>
      </c>
      <c r="H23" s="3" t="s">
        <v>87</v>
      </c>
      <c r="I23" s="5">
        <v>30000000</v>
      </c>
    </row>
    <row r="24" spans="1:9" x14ac:dyDescent="0.3">
      <c r="A24" s="3" t="s">
        <v>26</v>
      </c>
      <c r="B24" s="5">
        <v>38000000</v>
      </c>
      <c r="D24" s="3" t="s">
        <v>35</v>
      </c>
      <c r="E24" s="5">
        <v>0</v>
      </c>
      <c r="F24" s="5">
        <v>5000000</v>
      </c>
      <c r="G24" s="5">
        <v>5000000</v>
      </c>
      <c r="H24" s="3" t="s">
        <v>88</v>
      </c>
      <c r="I24" s="5">
        <v>50000000</v>
      </c>
    </row>
    <row r="25" spans="1:9" x14ac:dyDescent="0.3">
      <c r="A25" s="3" t="s">
        <v>23</v>
      </c>
      <c r="B25" s="5">
        <v>25000000</v>
      </c>
      <c r="D25" s="3" t="s">
        <v>47</v>
      </c>
      <c r="E25" s="5">
        <v>70000000</v>
      </c>
      <c r="F25" s="5">
        <v>100000000</v>
      </c>
      <c r="G25" s="5">
        <v>30000000</v>
      </c>
      <c r="I25" s="5"/>
    </row>
    <row r="26" spans="1:9" x14ac:dyDescent="0.3">
      <c r="A26" s="3" t="s">
        <v>15</v>
      </c>
      <c r="B26" s="5">
        <v>7000000</v>
      </c>
      <c r="I26" s="5">
        <f>I24-I23</f>
        <v>20000000</v>
      </c>
    </row>
    <row r="27" spans="1:9" x14ac:dyDescent="0.3">
      <c r="A27" s="3" t="s">
        <v>33</v>
      </c>
      <c r="B27" s="5">
        <v>0</v>
      </c>
    </row>
    <row r="28" spans="1:9" x14ac:dyDescent="0.3">
      <c r="A28" s="3" t="s">
        <v>29</v>
      </c>
      <c r="B28" s="5">
        <v>0</v>
      </c>
    </row>
    <row r="29" spans="1:9" x14ac:dyDescent="0.3">
      <c r="A29" s="3" t="s">
        <v>39</v>
      </c>
      <c r="B29" s="5">
        <v>0</v>
      </c>
    </row>
    <row r="30" spans="1:9" x14ac:dyDescent="0.3">
      <c r="A30" s="3" t="s">
        <v>42</v>
      </c>
      <c r="B30" s="5">
        <v>0</v>
      </c>
    </row>
    <row r="31" spans="1:9" x14ac:dyDescent="0.3">
      <c r="A31" s="3" t="s">
        <v>36</v>
      </c>
      <c r="B31" s="5">
        <v>0</v>
      </c>
    </row>
    <row r="32" spans="1:9" x14ac:dyDescent="0.3">
      <c r="A32" s="9" t="s">
        <v>47</v>
      </c>
      <c r="B32" s="10">
        <v>70000000</v>
      </c>
    </row>
  </sheetData>
  <pageMargins left="0.7" right="0.7" top="0.75" bottom="0.75" header="0.3" footer="0.3"/>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503A-60E3-4EBD-BFBF-173F19A18DF2}">
  <dimension ref="A1"/>
  <sheetViews>
    <sheetView showGridLines="0" showRowColHeaders="0" zoomScale="84" zoomScaleNormal="70" workbookViewId="0">
      <selection activeCell="G6" sqref="G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325C-C62D-493E-BFCF-21E2E113A250}">
  <dimension ref="A1"/>
  <sheetViews>
    <sheetView showGridLines="0" tabSelected="1" workbookViewId="0">
      <selection activeCell="K43" sqref="K4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Construction Cost Data</vt:lpstr>
      <vt:lpstr>Summary Table</vt:lpstr>
      <vt:lpstr>EDA</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Allwell Dediribe</cp:lastModifiedBy>
  <dcterms:created xsi:type="dcterms:W3CDTF">2026-07-29T14:59:03Z</dcterms:created>
  <dcterms:modified xsi:type="dcterms:W3CDTF">2026-08-01T20:59:39Z</dcterms:modified>
</cp:coreProperties>
</file>